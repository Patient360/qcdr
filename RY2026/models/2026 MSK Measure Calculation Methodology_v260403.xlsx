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niel/Documents/NET-HEALTH/LIMBER/Limber RA/New RA/Patch 2026/Outputs/"/>
    </mc:Choice>
  </mc:AlternateContent>
  <xr:revisionPtr revIDLastSave="0" documentId="13_ncr:1_{DAC5631B-3E12-DD40-8014-BA3C48A1EA53}" xr6:coauthVersionLast="47" xr6:coauthVersionMax="47" xr10:uidLastSave="{00000000-0000-0000-0000-000000000000}"/>
  <bookViews>
    <workbookView xWindow="4900" yWindow="500" windowWidth="36060" windowHeight="22540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L4" i="1" l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K34" i="1"/>
  <c r="B5" i="6"/>
  <c r="C5" i="6"/>
  <c r="D5" i="6"/>
  <c r="E5" i="6"/>
  <c r="F5" i="6"/>
  <c r="G5" i="6"/>
  <c r="H5" i="6"/>
  <c r="I5" i="6"/>
  <c r="J5" i="6"/>
  <c r="K5" i="6"/>
  <c r="L5" i="6"/>
  <c r="M5" i="6"/>
  <c r="B6" i="6"/>
  <c r="C6" i="6"/>
  <c r="D6" i="6"/>
  <c r="E6" i="6"/>
  <c r="F6" i="6"/>
  <c r="G6" i="6"/>
  <c r="H6" i="6"/>
  <c r="I6" i="6"/>
  <c r="J6" i="6"/>
  <c r="K6" i="6"/>
  <c r="L6" i="6"/>
  <c r="M6" i="6"/>
  <c r="B7" i="6"/>
  <c r="C7" i="6"/>
  <c r="D7" i="6"/>
  <c r="E7" i="6"/>
  <c r="F7" i="6"/>
  <c r="G7" i="6"/>
  <c r="H7" i="6"/>
  <c r="I7" i="6"/>
  <c r="J7" i="6"/>
  <c r="K7" i="6"/>
  <c r="L7" i="6"/>
  <c r="M7" i="6"/>
  <c r="B8" i="6"/>
  <c r="C8" i="6"/>
  <c r="D8" i="6"/>
  <c r="E8" i="6"/>
  <c r="F8" i="6"/>
  <c r="G8" i="6"/>
  <c r="H8" i="6"/>
  <c r="I8" i="6"/>
  <c r="J8" i="6"/>
  <c r="K8" i="6"/>
  <c r="L8" i="6"/>
  <c r="M8" i="6"/>
  <c r="B9" i="6"/>
  <c r="C9" i="6"/>
  <c r="D9" i="6"/>
  <c r="E9" i="6"/>
  <c r="F9" i="6"/>
  <c r="G9" i="6"/>
  <c r="H9" i="6"/>
  <c r="I9" i="6"/>
  <c r="J9" i="6"/>
  <c r="K9" i="6"/>
  <c r="L9" i="6"/>
  <c r="M9" i="6"/>
  <c r="B10" i="6"/>
  <c r="C10" i="6"/>
  <c r="D10" i="6"/>
  <c r="E10" i="6"/>
  <c r="F10" i="6"/>
  <c r="G10" i="6"/>
  <c r="H10" i="6"/>
  <c r="I10" i="6"/>
  <c r="J10" i="6"/>
  <c r="K10" i="6"/>
  <c r="L10" i="6"/>
  <c r="M10" i="6"/>
  <c r="B11" i="6"/>
  <c r="C11" i="6"/>
  <c r="D11" i="6"/>
  <c r="E11" i="6"/>
  <c r="F11" i="6"/>
  <c r="G11" i="6"/>
  <c r="H11" i="6"/>
  <c r="I11" i="6"/>
  <c r="J11" i="6"/>
  <c r="K11" i="6"/>
  <c r="L11" i="6"/>
  <c r="M11" i="6"/>
  <c r="B12" i="6"/>
  <c r="C12" i="6"/>
  <c r="D12" i="6"/>
  <c r="E12" i="6"/>
  <c r="F12" i="6"/>
  <c r="G12" i="6"/>
  <c r="H12" i="6"/>
  <c r="I12" i="6"/>
  <c r="J12" i="6"/>
  <c r="K12" i="6"/>
  <c r="L12" i="6"/>
  <c r="M12" i="6"/>
  <c r="B13" i="6"/>
  <c r="C13" i="6"/>
  <c r="D13" i="6"/>
  <c r="E13" i="6"/>
  <c r="F13" i="6"/>
  <c r="G13" i="6"/>
  <c r="H13" i="6"/>
  <c r="I13" i="6"/>
  <c r="J13" i="6"/>
  <c r="K13" i="6"/>
  <c r="L13" i="6"/>
  <c r="M13" i="6"/>
  <c r="O5" i="6"/>
  <c r="P5" i="6"/>
  <c r="Q5" i="6"/>
  <c r="R5" i="6"/>
  <c r="O6" i="6"/>
  <c r="P6" i="6"/>
  <c r="Q6" i="6"/>
  <c r="R6" i="6"/>
  <c r="O7" i="6"/>
  <c r="P7" i="6"/>
  <c r="Q7" i="6"/>
  <c r="R7" i="6"/>
  <c r="O8" i="6"/>
  <c r="P8" i="6"/>
  <c r="Q8" i="6"/>
  <c r="R8" i="6"/>
  <c r="O9" i="6"/>
  <c r="P9" i="6"/>
  <c r="Q9" i="6"/>
  <c r="R9" i="6"/>
  <c r="O10" i="6"/>
  <c r="P10" i="6"/>
  <c r="Q10" i="6"/>
  <c r="R10" i="6"/>
  <c r="O11" i="6"/>
  <c r="P11" i="6"/>
  <c r="Q11" i="6"/>
  <c r="R11" i="6"/>
  <c r="O12" i="6"/>
  <c r="P12" i="6"/>
  <c r="Q12" i="6"/>
  <c r="R12" i="6"/>
  <c r="O13" i="6"/>
  <c r="P13" i="6"/>
  <c r="Q13" i="6"/>
  <c r="R13" i="6"/>
  <c r="N6" i="6"/>
  <c r="N7" i="6"/>
  <c r="N8" i="6"/>
  <c r="N9" i="6"/>
  <c r="N10" i="6"/>
  <c r="N11" i="6"/>
  <c r="N12" i="6"/>
  <c r="N13" i="6"/>
  <c r="N5" i="6"/>
  <c r="M34" i="1" l="1"/>
</calcChain>
</file>

<file path=xl/sharedStrings.xml><?xml version="1.0" encoding="utf-8"?>
<sst xmlns="http://schemas.openxmlformats.org/spreadsheetml/2006/main" count="323" uniqueCount="106">
  <si>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</si>
  <si>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</si>
  <si>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</si>
  <si>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</si>
  <si>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</si>
  <si>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</si>
  <si>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</si>
  <si>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</si>
  <si>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</si>
  <si>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</si>
  <si>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</si>
  <si>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</si>
  <si>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</si>
  <si>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</si>
  <si>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</si>
  <si>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</si>
  <si>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</si>
  <si>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</si>
  <si>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</si>
  <si>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</si>
  <si>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</si>
  <si>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</si>
  <si>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</si>
  <si>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</si>
  <si>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</si>
  <si>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</si>
  <si>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</si>
  <si>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</si>
  <si>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</si>
  <si>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</si>
  <si>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</si>
  <si>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</si>
  <si>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</si>
  <si>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</si>
  <si>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</si>
  <si>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</si>
  <si>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</si>
  <si>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</si>
  <si>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</si>
  <si>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</si>
  <si>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</si>
  <si>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</si>
  <si>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</si>
  <si>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</si>
  <si>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</si>
  <si>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</si>
  <si>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</si>
  <si>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</si>
  <si>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</si>
  <si>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</si>
  <si>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</si>
  <si>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</si>
  <si>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</si>
  <si>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</si>
  <si>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</si>
  <si>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</si>
  <si>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</si>
  <si>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</si>
  <si>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</si>
  <si>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</si>
  <si>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</si>
  <si>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</si>
  <si>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</si>
  <si>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</si>
  <si>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</si>
  <si>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</si>
  <si>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</si>
  <si>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</si>
  <si>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</si>
  <si>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</si>
  <si>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</si>
  <si>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</si>
  <si>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</si>
  <si>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</si>
  <si>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</si>
  <si>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</si>
  <si>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</si>
  <si>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</si>
  <si>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</si>
  <si>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</si>
  <si>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</si>
  <si>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</si>
  <si>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</si>
  <si>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</si>
  <si>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</si>
  <si>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</si>
  <si>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</si>
  <si>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</si>
  <si>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</si>
  <si>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</si>
  <si>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</si>
  <si>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</si>
  <si>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</si>
  <si>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</si>
  <si>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</si>
  <si>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</si>
  <si>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</si>
  <si>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</si>
  <si>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</si>
  <si>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</si>
  <si>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</si>
  <si>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</si>
  <si>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</si>
  <si>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</si>
  <si>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r>
      <t xml:space="preserve">The value in P3 should </t>
    </r>
    <r>
      <rPr>
        <b/>
        <sz val="12"/>
        <color theme="1"/>
        <rFont val="Arial (Body)"/>
      </rPr>
      <t xml:space="preserve">correspond to the survey (scale) </t>
    </r>
    <r>
      <rPr>
        <b/>
        <sz val="12"/>
        <color theme="1"/>
        <rFont val="Arial"/>
        <family val="2"/>
        <scheme val="minor"/>
      </rPr>
      <t>as shown below.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</si>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</sst>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"/>
    <numFmt numFmtId="165" formatCode="0.000000000"/>
    <numFmt numFmtId="166" formatCode="0.0000000000"/>
    <numFmt numFmtId="167" formatCode="0.000000000000"/>
    <numFmt numFmtId="168" formatCode="0.0"/>
  </numFmts>
  <fonts count="23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 (Body)"/>
    </font>
  </fonts>
  <fills count="5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87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164" fontId="15" fillId="0" borderId="0" xfId="0" applyNumberFormat="1" applyFont="1"/>
    <xf numFmtId="165" fontId="9" fillId="0" borderId="0" xfId="0" applyNumberFormat="1" applyFont="1"/>
    <xf numFmtId="165" fontId="12" fillId="0" borderId="0" xfId="0" applyNumberFormat="1" applyFont="1"/>
    <xf numFmtId="165" fontId="0" fillId="0" borderId="0" xfId="0" applyNumberFormat="1"/>
    <xf numFmtId="165" fontId="10" fillId="0" borderId="0" xfId="0" applyNumberFormat="1" applyFont="1"/>
    <xf numFmtId="165" fontId="13" fillId="0" borderId="0" xfId="0" applyNumberFormat="1" applyFont="1" applyAlignment="1">
      <alignment horizontal="right"/>
    </xf>
    <xf numFmtId="165" fontId="1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65" fontId="6" fillId="0" borderId="0" xfId="0" applyNumberFormat="1" applyFont="1"/>
    <xf numFmtId="166" fontId="8" fillId="0" borderId="0" xfId="0" applyNumberFormat="1" applyFont="1"/>
    <xf numFmtId="166" fontId="6" fillId="0" borderId="0" xfId="0" applyNumberFormat="1" applyFont="1"/>
    <xf numFmtId="166" fontId="15" fillId="0" borderId="0" xfId="0" applyNumberFormat="1" applyFont="1"/>
    <xf numFmtId="167" fontId="6" fillId="0" borderId="0" xfId="0" applyNumberFormat="1" applyFont="1"/>
    <xf numFmtId="167" fontId="16" fillId="0" borderId="0" xfId="0" applyNumberFormat="1" applyFont="1"/>
    <xf numFmtId="165" fontId="14" fillId="2" borderId="0" xfId="0" applyNumberFormat="1" applyFont="1" applyFill="1" applyAlignment="1">
      <alignment horizontal="left"/>
    </xf>
    <xf numFmtId="164" fontId="15" fillId="3" borderId="0" xfId="0" applyNumberFormat="1" applyFont="1" applyFill="1"/>
    <xf numFmtId="165" fontId="15" fillId="3" borderId="0" xfId="0" applyNumberFormat="1" applyFont="1" applyFill="1"/>
    <xf numFmtId="164" fontId="11" fillId="0" borderId="0" xfId="0" applyNumberFormat="1" applyFont="1"/>
    <xf numFmtId="164" fontId="9" fillId="0" borderId="0" xfId="0" applyNumberFormat="1" applyFont="1"/>
    <xf numFmtId="164" fontId="13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/>
    <xf numFmtId="0" fontId="5" fillId="0" borderId="0" xfId="0" applyFont="1"/>
    <xf numFmtId="9" fontId="19" fillId="0" borderId="0" xfId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6" xfId="0" applyNumberFormat="1" applyFont="1" applyBorder="1"/>
    <xf numFmtId="0" fontId="4" fillId="0" borderId="8" xfId="0" applyFont="1" applyBorder="1"/>
    <xf numFmtId="165" fontId="4" fillId="0" borderId="9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/>
    <xf numFmtId="0" fontId="4" fillId="0" borderId="1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 applyAlignment="1">
      <alignment horizontal="center" vertical="center"/>
    </xf>
    <xf numFmtId="165" fontId="4" fillId="0" borderId="1" xfId="0" applyNumberFormat="1" applyFont="1" applyBorder="1"/>
    <xf numFmtId="165" fontId="4" fillId="0" borderId="8" xfId="0" applyNumberFormat="1" applyFont="1" applyBorder="1"/>
    <xf numFmtId="0" fontId="20" fillId="0" borderId="5" xfId="0" applyFont="1" applyBorder="1"/>
    <xf numFmtId="0" fontId="3" fillId="0" borderId="1" xfId="0" applyFont="1" applyBorder="1"/>
    <xf numFmtId="0" fontId="3" fillId="0" borderId="6" xfId="0" applyFont="1" applyBorder="1"/>
    <xf numFmtId="2" fontId="0" fillId="0" borderId="0" xfId="0" applyNumberFormat="1"/>
    <xf numFmtId="2" fontId="20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5" fillId="0" borderId="0" xfId="0" applyNumberFormat="1" applyFont="1"/>
    <xf numFmtId="2" fontId="8" fillId="0" borderId="0" xfId="0" applyNumberFormat="1" applyFont="1"/>
    <xf numFmtId="168" fontId="0" fillId="0" borderId="0" xfId="0" applyNumberFormat="1"/>
    <xf numFmtId="168" fontId="20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/>
    </xf>
    <xf numFmtId="168" fontId="4" fillId="0" borderId="8" xfId="0" applyNumberFormat="1" applyFont="1" applyBorder="1" applyAlignment="1">
      <alignment horizontal="center"/>
    </xf>
    <xf numFmtId="168" fontId="5" fillId="0" borderId="0" xfId="0" applyNumberFormat="1" applyFont="1"/>
    <xf numFmtId="168" fontId="8" fillId="0" borderId="0" xfId="0" applyNumberFormat="1" applyFont="1"/>
    <xf numFmtId="0" fontId="2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tabSelected="1" workbookViewId="0">
      <selection activeCell="F38" sqref="F38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6.33203125" style="73" bestFit="1" customWidth="1"/>
    <col min="4" max="4" width="8" bestFit="1" customWidth="1"/>
    <col min="5" max="5" width="13" style="67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7" bestFit="1" customWidth="1"/>
    <col min="12" max="12" width="14" bestFit="1" customWidth="1"/>
    <col min="13" max="13" width="20" style="37" bestFit="1" customWidth="1"/>
    <col min="14" max="14" width="3.33203125" style="37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80" t="s">
        <v>101</v>
      </c>
      <c r="C2" s="81"/>
      <c r="D2" s="81"/>
      <c r="E2" s="81"/>
      <c r="F2" s="81"/>
      <c r="G2" s="81"/>
      <c r="H2" s="81"/>
      <c r="I2" s="82"/>
      <c r="K2" s="83" t="s">
        <v>103</v>
      </c>
      <c r="L2" s="84"/>
      <c r="M2" s="85"/>
      <c r="N2" s="38"/>
      <c r="O2" s="80" t="s">
        <v>102</v>
      </c>
      <c r="P2" s="81"/>
      <c r="Q2" s="81"/>
      <c r="R2" s="82"/>
    </row>
    <row r="3" spans="2:25" ht="34" x14ac:dyDescent="0.2">
      <c r="B3" s="39" t="s">
        <v>100</v>
      </c>
      <c r="C3" s="74" t="s">
        <v>0</v>
      </c>
      <c r="D3" s="40" t="s">
        <v>1</v>
      </c>
      <c r="E3" s="68" t="s">
        <v>2</v>
      </c>
      <c r="F3" s="40" t="s">
        <v>3</v>
      </c>
      <c r="G3" s="40" t="s">
        <v>4</v>
      </c>
      <c r="H3" s="40" t="s">
        <v>5</v>
      </c>
      <c r="I3" s="41" t="s">
        <v>6</v>
      </c>
      <c r="J3" s="42"/>
      <c r="K3" s="39" t="s">
        <v>99</v>
      </c>
      <c r="L3" s="40" t="s">
        <v>7</v>
      </c>
      <c r="M3" s="41" t="s">
        <v>96</v>
      </c>
      <c r="N3" s="42"/>
      <c r="O3" s="39" t="s">
        <v>8</v>
      </c>
      <c r="P3" s="40">
        <v>16</v>
      </c>
      <c r="Q3" s="43"/>
      <c r="R3" s="44"/>
      <c r="S3" s="2"/>
      <c r="T3" s="2"/>
      <c r="U3" s="2"/>
      <c r="V3" s="2"/>
      <c r="W3" s="2"/>
      <c r="X3" s="2"/>
      <c r="Y3" s="2"/>
    </row>
    <row r="4" spans="2:25" ht="16" x14ac:dyDescent="0.2">
      <c r="B4" s="45" t="s">
        <v>9</v>
      </c>
      <c r="C4" s="75">
        <v>32</v>
      </c>
      <c r="D4" s="46" t="s">
        <v>10</v>
      </c>
      <c r="E4" s="69">
        <v>65.302899999999994</v>
      </c>
      <c r="F4" s="46">
        <v>0</v>
      </c>
      <c r="G4" s="46" t="s">
        <v>11</v>
      </c>
      <c r="H4" s="46" t="s">
        <v>12</v>
      </c>
      <c r="I4" s="47">
        <v>91</v>
      </c>
      <c r="J4" s="48"/>
      <c r="K4" s="45">
        <v>1</v>
      </c>
      <c r="L4" s="62">
        <f>EXP( VLOOKUP(1, Intercepts!A$2:R$2, P$3, FALSE) +(LOG10(C4)*(VLOOKUP(10, Age!A$3:R$3, P$3, FALSE))) + VLOOKUP(D4, Sex!A$2:R$5, P$3, FALSE) + (E4*(VLOOKUP(1, AdmitScore!A$2:R$2, P$3, FALSE))) + VLOOKUP(F4, AdmitPain!A$2:R$13, P$3, FALSE) + VLOOKUP(G4, Payer!A$2:R$8, P$3, FALSE) + VLOOKUP(H4, TxType!A$2:R$4, P$3, FALSE) + VLOOKUP('Patient Data'!I4, Duration!A$2:T$6, P$3+2, TRUE) )/(1+EXP( VLOOKUP(1, Intercepts!A$2:R$2, P$3, FALSE) + (LOG10(C4)*( VLOOKUP(10, Age!A$3:R$3, P$3, FALSE))) + VLOOKUP(D4, Sex!A$2:R$5, P$3, FALSE) + (E4*(VLOOKUP(1, AdmitScore!A$2:R$2, P$3, FALSE))) + VLOOKUP(F4, AdmitPain!A$2:R$13, P$3, FALSE) + VLOOKUP(G4, Payer!A$2:R$8, P$3, FALSE) + VLOOKUP(H4, TxType!A$2:R$4, P$3, FALSE) + VLOOKUP('Patient Data'!I4, Duration!A$2:T$6, P$3+2, TRUE) ))</f>
        <v>0.125477972506296</v>
      </c>
      <c r="M4" s="49">
        <f>IF(AND($P$3&gt;=14,F4&lt;=1),1,IF(L4&gt;0.3,K4,1))</f>
        <v>1</v>
      </c>
      <c r="N4" s="50"/>
      <c r="O4" s="64" t="s">
        <v>104</v>
      </c>
      <c r="P4" s="65"/>
      <c r="Q4" s="65"/>
      <c r="R4" s="66"/>
      <c r="S4" s="2"/>
      <c r="T4" s="2"/>
      <c r="U4" s="2"/>
      <c r="V4" s="2"/>
      <c r="W4" s="2"/>
      <c r="X4" s="2"/>
      <c r="Y4" s="2"/>
    </row>
    <row r="5" spans="2:25" ht="16" x14ac:dyDescent="0.2">
      <c r="B5" s="45" t="s">
        <v>13</v>
      </c>
      <c r="C5" s="75">
        <v>32</v>
      </c>
      <c r="D5" s="86" t="s">
        <v>33</v>
      </c>
      <c r="E5" s="69">
        <v>67.076400000000007</v>
      </c>
      <c r="F5" s="46">
        <v>1</v>
      </c>
      <c r="G5" s="46" t="s">
        <v>11</v>
      </c>
      <c r="H5" s="46" t="s">
        <v>12</v>
      </c>
      <c r="I5" s="47">
        <v>90</v>
      </c>
      <c r="J5" s="48"/>
      <c r="K5" s="45">
        <v>0</v>
      </c>
      <c r="L5" s="62">
        <f>EXP( VLOOKUP(1, Intercepts!A$2:R$2, P$3, FALSE) +(LOG10(C5)*( VLOOKUP(10, Age!A$3:R$3, P$3, FALSE))) + VLOOKUP(D5, Sex!A$2:R$5, P$3, FALSE) + (E5*(VLOOKUP(1, AdmitScore!A$2:R$2, P$3, FALSE))) + VLOOKUP(F5, AdmitPain!A$2:R$13, P$3, FALSE) + VLOOKUP(G5, Payer!A$2:R$8, P$3, FALSE) + VLOOKUP(H5, TxType!A$2:R$4, P$3, FALSE) + VLOOKUP('Patient Data'!I5, Duration!A$2:T$6, P$3+2, TRUE) )/(1+EXP( VLOOKUP(1, Intercepts!A$2:R$2, P$3, FALSE) + (LOG10(C5)*( VLOOKUP(10, Age!A$3:R$3, P$3, FALSE))) + VLOOKUP(D5, Sex!A$2:R$5, P$3, FALSE) + (E5*(VLOOKUP(1, AdmitScore!A$2:R$2, P$3, FALSE))) + VLOOKUP(F5, AdmitPain!A$2:R$13, P$3, FALSE) + VLOOKUP(G5, Payer!A$2:R$8, P$3, FALSE) + VLOOKUP(H5, TxType!A$2:R$4, P$3, FALSE) + VLOOKUP('Patient Data'!I5, Duration!A$2:T$6, P$3+2, TRUE) ))</f>
        <v>0.403822496406394</v>
      </c>
      <c r="M5" s="49">
        <f t="shared" ref="M5:M28" si="0">IF(AND($P$3&gt;=14,F5&lt;=1),1,IF(L5&gt;0.3,K5,1))</f>
        <v>1</v>
      </c>
      <c r="N5" s="50"/>
      <c r="O5" s="58"/>
      <c r="P5" s="43"/>
      <c r="Q5" s="43"/>
      <c r="R5" s="44"/>
      <c r="S5" s="2"/>
      <c r="T5" s="2"/>
      <c r="U5" s="2"/>
      <c r="V5" s="2"/>
      <c r="W5" s="2"/>
      <c r="X5" s="2"/>
      <c r="Y5" s="2"/>
    </row>
    <row r="6" spans="2:25" ht="16" x14ac:dyDescent="0.2">
      <c r="B6" s="45" t="s">
        <v>15</v>
      </c>
      <c r="C6" s="75">
        <v>50</v>
      </c>
      <c r="D6" s="46" t="s">
        <v>14</v>
      </c>
      <c r="E6" s="69">
        <v>23.209099999999999</v>
      </c>
      <c r="F6" s="46">
        <v>2</v>
      </c>
      <c r="G6" s="46" t="s">
        <v>11</v>
      </c>
      <c r="H6" s="46" t="s">
        <v>48</v>
      </c>
      <c r="I6" s="47">
        <v>90</v>
      </c>
      <c r="J6" s="48"/>
      <c r="K6" s="45">
        <v>1</v>
      </c>
      <c r="L6" s="62">
        <f>EXP( VLOOKUP(1, Intercepts!A$2:R$2, P$3, FALSE) +(LOG10(C6)*( VLOOKUP(10, Age!A$3:R$3, P$3, FALSE))) + VLOOKUP(D6, Sex!A$2:R$5, P$3, FALSE) + (E6*(VLOOKUP(1, AdmitScore!A$2:R$2, P$3, FALSE))) + VLOOKUP(F6, AdmitPain!A$2:R$13, P$3, FALSE) + VLOOKUP(G6, Payer!A$2:R$8, P$3, FALSE) + VLOOKUP(H6, TxType!A$2:R$4, P$3, FALSE) + VLOOKUP('Patient Data'!I6, Duration!A$2:T$6, P$3+2, TRUE) )/(1+EXP( VLOOKUP(1, Intercepts!A$2:R$2, P$3, FALSE) + (LOG10(C6)*( VLOOKUP(10, Age!A$3:R$3, P$3, FALSE))) + VLOOKUP(D6, Sex!A$2:R$5, P$3, FALSE) + (E6*(VLOOKUP(1, AdmitScore!A$2:R$2, P$3, FALSE))) + VLOOKUP(F6, AdmitPain!A$2:R$13, P$3, FALSE) + VLOOKUP(G6, Payer!A$2:R$8, P$3, FALSE) + VLOOKUP(H6, TxType!A$2:R$4, P$3, FALSE) + VLOOKUP('Patient Data'!I6, Duration!A$2:T$6, P$3+2, TRUE) ))</f>
        <v>0.19090418639225448</v>
      </c>
      <c r="M6" s="49">
        <f t="shared" si="0"/>
        <v>1</v>
      </c>
      <c r="N6" s="50"/>
      <c r="O6" s="58" t="s">
        <v>16</v>
      </c>
      <c r="P6" s="59">
        <v>2</v>
      </c>
      <c r="Q6" s="43"/>
      <c r="R6" s="51" t="s">
        <v>62</v>
      </c>
      <c r="S6" s="2"/>
      <c r="T6" s="2"/>
      <c r="U6" s="2"/>
      <c r="V6" s="2"/>
      <c r="W6" s="2"/>
      <c r="X6" s="2"/>
      <c r="Y6" s="2"/>
    </row>
    <row r="7" spans="2:25" ht="16" x14ac:dyDescent="0.2">
      <c r="B7" s="45" t="s">
        <v>17</v>
      </c>
      <c r="C7" s="75">
        <v>46</v>
      </c>
      <c r="D7" s="46" t="s">
        <v>10</v>
      </c>
      <c r="E7" s="69">
        <v>27.792300000000001</v>
      </c>
      <c r="F7" s="46">
        <v>5</v>
      </c>
      <c r="G7" s="46" t="s">
        <v>84</v>
      </c>
      <c r="H7" s="46" t="s">
        <v>12</v>
      </c>
      <c r="I7" s="47">
        <v>90</v>
      </c>
      <c r="J7" s="48"/>
      <c r="K7" s="45">
        <v>1</v>
      </c>
      <c r="L7" s="62">
        <f>EXP( VLOOKUP(1, Intercepts!A$2:R$2, P$3, FALSE) +(LOG10(C7)*( VLOOKUP(10, Age!A$3:R$3, P$3, FALSE))) + VLOOKUP(D7, Sex!A$2:R$5, P$3, FALSE) + (E7*(VLOOKUP(1, AdmitScore!A$2:R$2, P$3, FALSE))) + VLOOKUP(F7, AdmitPain!A$2:R$13, P$3, FALSE) + VLOOKUP(G7, Payer!A$2:R$8, P$3, FALSE) + VLOOKUP(H7, TxType!A$2:R$4, P$3, FALSE) + VLOOKUP('Patient Data'!I7, Duration!A$2:T$6, P$3+2, TRUE) )/(1+EXP( VLOOKUP(1, Intercepts!A$2:R$2, P$3, FALSE) + (LOG10(C7)*( VLOOKUP(10, Age!A$3:R$3, P$3, FALSE))) + VLOOKUP(D7, Sex!A$2:R$5, P$3, FALSE) + (E7*(VLOOKUP(1, AdmitScore!A$2:R$2, P$3, FALSE))) + VLOOKUP(F7, AdmitPain!A$2:R$13, P$3, FALSE) + VLOOKUP(G7, Payer!A$2:R$8, P$3, FALSE) + VLOOKUP(H7, TxType!A$2:R$4, P$3, FALSE) + VLOOKUP('Patient Data'!I7, Duration!A$2:T$6, P$3+2, TRUE) ))</f>
        <v>0.4352793903207226</v>
      </c>
      <c r="M7" s="49">
        <f t="shared" si="0"/>
        <v>1</v>
      </c>
      <c r="N7" s="50"/>
      <c r="O7" s="58" t="s">
        <v>19</v>
      </c>
      <c r="P7" s="59">
        <v>3</v>
      </c>
      <c r="Q7" s="43"/>
      <c r="R7" s="51" t="s">
        <v>63</v>
      </c>
      <c r="S7" s="2"/>
      <c r="T7" s="2"/>
      <c r="U7" s="2"/>
      <c r="V7" s="2"/>
      <c r="W7" s="2"/>
      <c r="X7" s="2"/>
      <c r="Y7" s="2"/>
    </row>
    <row r="8" spans="2:25" ht="16" x14ac:dyDescent="0.2">
      <c r="B8" s="45" t="s">
        <v>20</v>
      </c>
      <c r="C8" s="75">
        <v>74</v>
      </c>
      <c r="D8" s="46" t="s">
        <v>14</v>
      </c>
      <c r="E8" s="69">
        <v>14.6524</v>
      </c>
      <c r="F8" s="46">
        <v>5</v>
      </c>
      <c r="G8" s="46" t="s">
        <v>40</v>
      </c>
      <c r="H8" s="46" t="s">
        <v>48</v>
      </c>
      <c r="I8" s="47">
        <v>90</v>
      </c>
      <c r="J8" s="48"/>
      <c r="K8" s="45">
        <v>1</v>
      </c>
      <c r="L8" s="62">
        <f>EXP( VLOOKUP(1, Intercepts!A$2:R$2, P$3, FALSE) +(LOG10(C8)*( VLOOKUP(10, Age!A$3:R$3, P$3, FALSE))) + VLOOKUP(D8, Sex!A$2:R$5, P$3, FALSE) + (E8*(VLOOKUP(1, AdmitScore!A$2:R$2, P$3, FALSE))) + VLOOKUP(F8, AdmitPain!A$2:R$13, P$3, FALSE) + VLOOKUP(G8, Payer!A$2:R$8, P$3, FALSE) + VLOOKUP(H8, TxType!A$2:R$4, P$3, FALSE) + VLOOKUP('Patient Data'!I8, Duration!A$2:T$6, P$3+2, TRUE) )/(1+EXP( VLOOKUP(1, Intercepts!A$2:R$2, P$3, FALSE) + (LOG10(C8)*( VLOOKUP(10, Age!A$3:R$3, P$3, FALSE))) + VLOOKUP(D8, Sex!A$2:R$5, P$3, FALSE) + (E8*(VLOOKUP(1, AdmitScore!A$2:R$2, P$3, FALSE))) + VLOOKUP(F8, AdmitPain!A$2:R$13, P$3, FALSE) + VLOOKUP(G8, Payer!A$2:R$8, P$3, FALSE) + VLOOKUP(H8, TxType!A$2:R$4, P$3, FALSE) + VLOOKUP('Patient Data'!I8, Duration!A$2:T$6, P$3+2, TRUE) ))</f>
        <v>0.36607407996049213</v>
      </c>
      <c r="M8" s="49">
        <f t="shared" si="0"/>
        <v>1</v>
      </c>
      <c r="N8" s="50"/>
      <c r="O8" s="58" t="s">
        <v>21</v>
      </c>
      <c r="P8" s="59">
        <v>4</v>
      </c>
      <c r="Q8" s="43"/>
      <c r="R8" s="51" t="s">
        <v>64</v>
      </c>
      <c r="S8" s="2"/>
      <c r="T8" s="2"/>
      <c r="U8" s="2"/>
      <c r="V8" s="2"/>
      <c r="W8" s="2"/>
      <c r="X8" s="2"/>
      <c r="Y8" s="2"/>
    </row>
    <row r="9" spans="2:25" ht="16" x14ac:dyDescent="0.2">
      <c r="B9" s="45" t="s">
        <v>22</v>
      </c>
      <c r="C9" s="75">
        <v>38</v>
      </c>
      <c r="D9" s="46" t="s">
        <v>10</v>
      </c>
      <c r="E9" s="69">
        <v>42.350700000000003</v>
      </c>
      <c r="F9" s="46">
        <v>1</v>
      </c>
      <c r="G9" s="46" t="s">
        <v>11</v>
      </c>
      <c r="H9" s="46" t="s">
        <v>12</v>
      </c>
      <c r="I9" s="47">
        <v>91</v>
      </c>
      <c r="J9" s="48"/>
      <c r="K9" s="45">
        <v>1</v>
      </c>
      <c r="L9" s="62">
        <f>EXP( VLOOKUP(1, Intercepts!A$2:R$2, P$3, FALSE) +(LOG10(C9)*( VLOOKUP(10, Age!A$3:R$3, P$3, FALSE))) + VLOOKUP(D9, Sex!A$2:R$5, P$3, FALSE) + (E9*(VLOOKUP(1, AdmitScore!A$2:R$2, P$3, FALSE))) + VLOOKUP(F9, AdmitPain!A$2:R$13, P$3, FALSE) + VLOOKUP(G9, Payer!A$2:R$8, P$3, FALSE) + VLOOKUP(H9, TxType!A$2:R$4, P$3, FALSE) + VLOOKUP('Patient Data'!I9, Duration!A$2:T$6, P$3+2, TRUE) )/(1+EXP( VLOOKUP(1, Intercepts!A$2:R$2, P$3, FALSE) + (LOG10(C9)*( VLOOKUP(10, Age!A$3:R$3, P$3, FALSE))) + VLOOKUP(D9, Sex!A$2:R$5, P$3, FALSE) + (E9*(VLOOKUP(1, AdmitScore!A$2:R$2, P$3, FALSE))) + VLOOKUP(F9, AdmitPain!A$2:R$13, P$3, FALSE) + VLOOKUP(G9, Payer!A$2:R$8, P$3, FALSE) + VLOOKUP(H9, TxType!A$2:R$4, P$3, FALSE) + VLOOKUP('Patient Data'!I9, Duration!A$2:T$6, P$3+2, TRUE) ))</f>
        <v>0.16420616875041202</v>
      </c>
      <c r="M9" s="49">
        <f t="shared" si="0"/>
        <v>1</v>
      </c>
      <c r="N9" s="50"/>
      <c r="O9" s="58" t="s">
        <v>23</v>
      </c>
      <c r="P9" s="59">
        <v>5</v>
      </c>
      <c r="Q9" s="43"/>
      <c r="R9" s="51" t="s">
        <v>65</v>
      </c>
      <c r="S9" s="2"/>
      <c r="T9" s="2"/>
      <c r="U9" s="2"/>
      <c r="V9" s="2"/>
      <c r="W9" s="2"/>
      <c r="X9" s="2"/>
      <c r="Y9" s="2"/>
    </row>
    <row r="10" spans="2:25" ht="16" x14ac:dyDescent="0.2">
      <c r="B10" s="45" t="s">
        <v>24</v>
      </c>
      <c r="C10" s="75">
        <v>65</v>
      </c>
      <c r="D10" s="46" t="s">
        <v>14</v>
      </c>
      <c r="E10" s="69">
        <v>34.577100000000002</v>
      </c>
      <c r="F10" s="46">
        <v>4</v>
      </c>
      <c r="G10" s="46" t="s">
        <v>11</v>
      </c>
      <c r="H10" s="46" t="s">
        <v>12</v>
      </c>
      <c r="I10" s="47">
        <v>91</v>
      </c>
      <c r="J10" s="48"/>
      <c r="K10" s="45">
        <v>0</v>
      </c>
      <c r="L10" s="62">
        <f>EXP( VLOOKUP(1, Intercepts!A$2:R$2, P$3, FALSE) +(LOG10(C10)*( VLOOKUP(10, Age!A$3:R$3, P$3, FALSE))) + VLOOKUP(D10, Sex!A$2:R$5, P$3, FALSE) + (E10*(VLOOKUP(1, AdmitScore!A$2:R$2, P$3, FALSE))) + VLOOKUP(F10, AdmitPain!A$2:R$13, P$3, FALSE) + VLOOKUP(G10, Payer!A$2:R$8, P$3, FALSE) + VLOOKUP(H10, TxType!A$2:R$4, P$3, FALSE) + VLOOKUP('Patient Data'!I10, Duration!A$2:T$6, P$3+2, TRUE) )/(1+EXP( VLOOKUP(1, Intercepts!A$2:R$2, P$3, FALSE) + (LOG10(C10)*( VLOOKUP(10, Age!A$3:R$3, P$3, FALSE))) + VLOOKUP(D10, Sex!A$2:R$5, P$3, FALSE) + (E10*(VLOOKUP(1, AdmitScore!A$2:R$2, P$3, FALSE))) + VLOOKUP(F10, AdmitPain!A$2:R$13, P$3, FALSE) + VLOOKUP(G10, Payer!A$2:R$8, P$3, FALSE) + VLOOKUP(H10, TxType!A$2:R$4, P$3, FALSE) + VLOOKUP('Patient Data'!I10, Duration!A$2:T$6, P$3+2, TRUE) ))</f>
        <v>0.32348453762145946</v>
      </c>
      <c r="M10" s="49">
        <f t="shared" si="0"/>
        <v>0</v>
      </c>
      <c r="N10" s="50"/>
      <c r="O10" s="58" t="s">
        <v>26</v>
      </c>
      <c r="P10" s="59">
        <v>6</v>
      </c>
      <c r="Q10" s="43"/>
      <c r="R10" s="51" t="s">
        <v>66</v>
      </c>
      <c r="S10" s="2"/>
      <c r="T10" s="2"/>
      <c r="U10" s="2"/>
      <c r="V10" s="2"/>
      <c r="W10" s="2"/>
      <c r="X10" s="2"/>
      <c r="Y10" s="2"/>
    </row>
    <row r="11" spans="2:25" ht="16" x14ac:dyDescent="0.2">
      <c r="B11" s="45" t="s">
        <v>25</v>
      </c>
      <c r="C11" s="75">
        <v>62</v>
      </c>
      <c r="D11" s="46" t="s">
        <v>14</v>
      </c>
      <c r="E11" s="69">
        <v>29.459599999999998</v>
      </c>
      <c r="F11" s="46">
        <v>8</v>
      </c>
      <c r="G11" s="46" t="s">
        <v>11</v>
      </c>
      <c r="H11" s="46" t="s">
        <v>12</v>
      </c>
      <c r="I11" s="47">
        <v>90</v>
      </c>
      <c r="J11" s="48"/>
      <c r="K11" s="45">
        <v>0</v>
      </c>
      <c r="L11" s="62">
        <f>EXP( VLOOKUP(1, Intercepts!A$2:R$2, P$3, FALSE) +(LOG10(C11)*( VLOOKUP(10, Age!A$3:R$3, P$3, FALSE))) + VLOOKUP(D11, Sex!A$2:R$5, P$3, FALSE) + (E11*(VLOOKUP(1, AdmitScore!A$2:R$2, P$3, FALSE))) + VLOOKUP(F11, AdmitPain!A$2:R$13, P$3, FALSE) + VLOOKUP(G11, Payer!A$2:R$8, P$3, FALSE) + VLOOKUP(H11, TxType!A$2:R$4, P$3, FALSE) + VLOOKUP('Patient Data'!I11, Duration!A$2:T$6, P$3+2, TRUE) )/(1+EXP( VLOOKUP(1, Intercepts!A$2:R$2, P$3, FALSE) + (LOG10(C11)*( VLOOKUP(10, Age!A$3:R$3, P$3, FALSE))) + VLOOKUP(D11, Sex!A$2:R$5, P$3, FALSE) + (E11*(VLOOKUP(1, AdmitScore!A$2:R$2, P$3, FALSE))) + VLOOKUP(F11, AdmitPain!A$2:R$13, P$3, FALSE) + VLOOKUP(G11, Payer!A$2:R$8, P$3, FALSE) + VLOOKUP(H11, TxType!A$2:R$4, P$3, FALSE) + VLOOKUP('Patient Data'!I11, Duration!A$2:T$6, P$3+2, TRUE) ))</f>
        <v>0.80380328581130378</v>
      </c>
      <c r="M11" s="49">
        <f t="shared" si="0"/>
        <v>0</v>
      </c>
      <c r="N11" s="50"/>
      <c r="O11" s="58" t="s">
        <v>29</v>
      </c>
      <c r="P11" s="59">
        <v>7</v>
      </c>
      <c r="Q11" s="43"/>
      <c r="R11" s="51" t="s">
        <v>67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5" t="s">
        <v>27</v>
      </c>
      <c r="C12" s="75">
        <v>55</v>
      </c>
      <c r="D12" s="46" t="s">
        <v>14</v>
      </c>
      <c r="E12" s="69">
        <v>64.177400000000006</v>
      </c>
      <c r="F12" s="46">
        <v>8</v>
      </c>
      <c r="G12" s="46" t="s">
        <v>33</v>
      </c>
      <c r="H12" s="46" t="s">
        <v>12</v>
      </c>
      <c r="I12" s="47">
        <v>90</v>
      </c>
      <c r="J12" s="48"/>
      <c r="K12" s="45">
        <v>1</v>
      </c>
      <c r="L12" s="62">
        <f>EXP( VLOOKUP(1, Intercepts!A$2:R$2, P$3, FALSE) +(LOG10(C12)*( VLOOKUP(10, Age!A$3:R$3, P$3, FALSE))) + VLOOKUP(D12, Sex!A$2:R$5, P$3, FALSE) + (E12*(VLOOKUP(1, AdmitScore!A$2:R$2, P$3, FALSE))) + VLOOKUP(F12, AdmitPain!A$2:R$13, P$3, FALSE) + VLOOKUP(G12, Payer!A$2:R$8, P$3, FALSE) + VLOOKUP(H12, TxType!A$2:R$4, P$3, FALSE) + VLOOKUP('Patient Data'!I12, Duration!A$2:T$6, P$3+2, TRUE) )/(1+EXP( VLOOKUP(1, Intercepts!A$2:R$2, P$3, FALSE) + (LOG10(C12)*( VLOOKUP(10, Age!A$3:R$3, P$3, FALSE))) + VLOOKUP(D12, Sex!A$2:R$5, P$3, FALSE) + (E12*(VLOOKUP(1, AdmitScore!A$2:R$2, P$3, FALSE))) + VLOOKUP(F12, AdmitPain!A$2:R$13, P$3, FALSE) + VLOOKUP(G12, Payer!A$2:R$8, P$3, FALSE) + VLOOKUP(H12, TxType!A$2:R$4, P$3, FALSE) + VLOOKUP('Patient Data'!I12, Duration!A$2:T$6, P$3+2, TRUE) ))</f>
        <v>0.73231310330891841</v>
      </c>
      <c r="M12" s="49">
        <f t="shared" si="0"/>
        <v>1</v>
      </c>
      <c r="N12" s="50"/>
      <c r="O12" s="58" t="s">
        <v>31</v>
      </c>
      <c r="P12" s="59">
        <v>8</v>
      </c>
      <c r="Q12" s="43"/>
      <c r="R12" s="51" t="s">
        <v>68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5" t="s">
        <v>30</v>
      </c>
      <c r="C13" s="75">
        <v>52</v>
      </c>
      <c r="D13" s="46" t="s">
        <v>14</v>
      </c>
      <c r="E13" s="69">
        <v>57.343800000000002</v>
      </c>
      <c r="F13" s="46">
        <v>4</v>
      </c>
      <c r="G13" s="46" t="s">
        <v>84</v>
      </c>
      <c r="H13" s="46" t="s">
        <v>12</v>
      </c>
      <c r="I13" s="47">
        <v>90</v>
      </c>
      <c r="J13" s="48"/>
      <c r="K13" s="45">
        <v>1</v>
      </c>
      <c r="L13" s="62">
        <f>EXP( VLOOKUP(1, Intercepts!A$2:R$2, P$3, FALSE) +(LOG10(C13)*( VLOOKUP(10, Age!A$3:R$3, P$3, FALSE))) + VLOOKUP(D13, Sex!A$2:R$5, P$3, FALSE) + (E13*(VLOOKUP(1, AdmitScore!A$2:R$2, P$3, FALSE))) + VLOOKUP(F13, AdmitPain!A$2:R$13, P$3, FALSE) + VLOOKUP(G13, Payer!A$2:R$8, P$3, FALSE) + VLOOKUP(H13, TxType!A$2:R$4, P$3, FALSE) + VLOOKUP('Patient Data'!I13, Duration!A$2:T$6, P$3+2, TRUE) )/(1+EXP( VLOOKUP(1, Intercepts!A$2:R$2, P$3, FALSE) + (LOG10(C13)*( VLOOKUP(10, Age!A$3:R$3, P$3, FALSE))) + VLOOKUP(D13, Sex!A$2:R$5, P$3, FALSE) + (E13*(VLOOKUP(1, AdmitScore!A$2:R$2, P$3, FALSE))) + VLOOKUP(F13, AdmitPain!A$2:R$13, P$3, FALSE) + VLOOKUP(G13, Payer!A$2:R$8, P$3, FALSE) + VLOOKUP(H13, TxType!A$2:R$4, P$3, FALSE) + VLOOKUP('Patient Data'!I13, Duration!A$2:T$6, P$3+2, TRUE) ))</f>
        <v>0.33560841577637651</v>
      </c>
      <c r="M13" s="49">
        <f t="shared" si="0"/>
        <v>1</v>
      </c>
      <c r="N13" s="50"/>
      <c r="O13" s="58" t="s">
        <v>34</v>
      </c>
      <c r="P13" s="59">
        <v>9</v>
      </c>
      <c r="Q13" s="43"/>
      <c r="R13" s="51" t="s">
        <v>95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5" t="s">
        <v>32</v>
      </c>
      <c r="C14" s="75">
        <v>69</v>
      </c>
      <c r="D14" s="46" t="s">
        <v>14</v>
      </c>
      <c r="E14" s="69">
        <v>65.566400000000002</v>
      </c>
      <c r="F14" s="46">
        <v>5</v>
      </c>
      <c r="G14" s="46" t="s">
        <v>11</v>
      </c>
      <c r="H14" s="46" t="s">
        <v>12</v>
      </c>
      <c r="I14" s="47">
        <v>90</v>
      </c>
      <c r="J14" s="48"/>
      <c r="K14" s="45">
        <v>1</v>
      </c>
      <c r="L14" s="62">
        <f>EXP( VLOOKUP(1, Intercepts!A$2:R$2, P$3, FALSE) +(LOG10(C14)*( VLOOKUP(10, Age!A$3:R$3, P$3, FALSE))) + VLOOKUP(D14, Sex!A$2:R$5, P$3, FALSE) + (E14*(VLOOKUP(1, AdmitScore!A$2:R$2, P$3, FALSE))) + VLOOKUP(F14, AdmitPain!A$2:R$13, P$3, FALSE) + VLOOKUP(G14, Payer!A$2:R$8, P$3, FALSE) + VLOOKUP(H14, TxType!A$2:R$4, P$3, FALSE) + VLOOKUP('Patient Data'!I14, Duration!A$2:T$6, P$3+2, TRUE) )/(1+EXP( VLOOKUP(1, Intercepts!A$2:R$2, P$3, FALSE) + (LOG10(C14)*( VLOOKUP(10, Age!A$3:R$3, P$3, FALSE))) + VLOOKUP(D14, Sex!A$2:R$5, P$3, FALSE) + (E14*(VLOOKUP(1, AdmitScore!A$2:R$2, P$3, FALSE))) + VLOOKUP(F14, AdmitPain!A$2:R$13, P$3, FALSE) + VLOOKUP(G14, Payer!A$2:R$8, P$3, FALSE) + VLOOKUP(H14, TxType!A$2:R$4, P$3, FALSE) + VLOOKUP('Patient Data'!I14, Duration!A$2:T$6, P$3+2, TRUE) ))</f>
        <v>0.58475081815525176</v>
      </c>
      <c r="M14" s="49">
        <f t="shared" si="0"/>
        <v>1</v>
      </c>
      <c r="N14" s="50"/>
      <c r="O14" s="58" t="s">
        <v>36</v>
      </c>
      <c r="P14" s="59">
        <v>10</v>
      </c>
      <c r="Q14" s="43"/>
      <c r="R14" s="51" t="s">
        <v>70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5" t="s">
        <v>35</v>
      </c>
      <c r="C15" s="75">
        <v>27</v>
      </c>
      <c r="D15" s="46" t="s">
        <v>10</v>
      </c>
      <c r="E15" s="69">
        <v>74.113100000000003</v>
      </c>
      <c r="F15" s="46">
        <v>4</v>
      </c>
      <c r="G15" s="46" t="s">
        <v>84</v>
      </c>
      <c r="H15" s="46" t="s">
        <v>12</v>
      </c>
      <c r="I15" s="47">
        <v>90</v>
      </c>
      <c r="J15" s="48"/>
      <c r="K15" s="45">
        <v>1</v>
      </c>
      <c r="L15" s="62">
        <f>EXP( VLOOKUP(1, Intercepts!A$2:R$2, P$3, FALSE) +(LOG10(C15)*( VLOOKUP(10, Age!A$3:R$3, P$3, FALSE))) + VLOOKUP(D15, Sex!A$2:R$5, P$3, FALSE) + (E15*(VLOOKUP(1, AdmitScore!A$2:R$2, P$3, FALSE))) + VLOOKUP(F15, AdmitPain!A$2:R$13, P$3, FALSE) + VLOOKUP(G15, Payer!A$2:R$8, P$3, FALSE) + VLOOKUP(H15, TxType!A$2:R$4, P$3, FALSE) + VLOOKUP('Patient Data'!I15, Duration!A$2:T$6, P$3+2, TRUE) )/(1+EXP( VLOOKUP(1, Intercepts!A$2:R$2, P$3, FALSE) + (LOG10(C15)*( VLOOKUP(10, Age!A$3:R$3, P$3, FALSE))) + VLOOKUP(D15, Sex!A$2:R$5, P$3, FALSE) + (E15*(VLOOKUP(1, AdmitScore!A$2:R$2, P$3, FALSE))) + VLOOKUP(F15, AdmitPain!A$2:R$13, P$3, FALSE) + VLOOKUP(G15, Payer!A$2:R$8, P$3, FALSE) + VLOOKUP(H15, TxType!A$2:R$4, P$3, FALSE) + VLOOKUP('Patient Data'!I15, Duration!A$2:T$6, P$3+2, TRUE) ))</f>
        <v>0.37704378270490679</v>
      </c>
      <c r="M15" s="49">
        <f t="shared" si="0"/>
        <v>1</v>
      </c>
      <c r="N15" s="50"/>
      <c r="O15" s="58" t="s">
        <v>38</v>
      </c>
      <c r="P15" s="59">
        <v>11</v>
      </c>
      <c r="Q15" s="43"/>
      <c r="R15" s="51" t="s">
        <v>71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5" t="s">
        <v>37</v>
      </c>
      <c r="C16" s="75">
        <v>23</v>
      </c>
      <c r="D16" s="46" t="s">
        <v>14</v>
      </c>
      <c r="E16" s="69">
        <v>68.407600000000002</v>
      </c>
      <c r="F16" s="46">
        <v>7</v>
      </c>
      <c r="G16" s="46" t="s">
        <v>33</v>
      </c>
      <c r="H16" s="46" t="s">
        <v>12</v>
      </c>
      <c r="I16" s="47">
        <v>91</v>
      </c>
      <c r="J16" s="48"/>
      <c r="K16" s="45">
        <v>1</v>
      </c>
      <c r="L16" s="62">
        <f>EXP( VLOOKUP(1, Intercepts!A$2:R$2, P$3, FALSE) +(LOG10(C16)*( VLOOKUP(10, Age!A$3:R$3, P$3, FALSE))) + VLOOKUP(D16, Sex!A$2:R$5, P$3, FALSE) + (E16*(VLOOKUP(1, AdmitScore!A$2:R$2, P$3, FALSE))) + VLOOKUP(F16, AdmitPain!A$2:R$13, P$3, FALSE) + VLOOKUP(G16, Payer!A$2:R$8, P$3, FALSE) + VLOOKUP(H16, TxType!A$2:R$4, P$3, FALSE) + VLOOKUP('Patient Data'!I16, Duration!A$2:T$6, P$3+2, TRUE) )/(1+EXP( VLOOKUP(1, Intercepts!A$2:R$2, P$3, FALSE) + (LOG10(C16)*( VLOOKUP(10, Age!A$3:R$3, P$3, FALSE))) + VLOOKUP(D16, Sex!A$2:R$5, P$3, FALSE) + (E16*(VLOOKUP(1, AdmitScore!A$2:R$2, P$3, FALSE))) + VLOOKUP(F16, AdmitPain!A$2:R$13, P$3, FALSE) + VLOOKUP(G16, Payer!A$2:R$8, P$3, FALSE) + VLOOKUP(H16, TxType!A$2:R$4, P$3, FALSE) + VLOOKUP('Patient Data'!I16, Duration!A$2:T$6, P$3+2, TRUE) ))</f>
        <v>0.52234384816257129</v>
      </c>
      <c r="M16" s="49">
        <f t="shared" si="0"/>
        <v>1</v>
      </c>
      <c r="N16" s="50"/>
      <c r="O16" s="58" t="s">
        <v>41</v>
      </c>
      <c r="P16" s="59">
        <v>12</v>
      </c>
      <c r="Q16" s="43"/>
      <c r="R16" s="51" t="s">
        <v>72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5" t="s">
        <v>39</v>
      </c>
      <c r="C17" s="75">
        <v>36</v>
      </c>
      <c r="D17" s="46" t="s">
        <v>10</v>
      </c>
      <c r="E17" s="69">
        <v>66.870999999999995</v>
      </c>
      <c r="F17" s="46">
        <v>8</v>
      </c>
      <c r="G17" s="46" t="s">
        <v>33</v>
      </c>
      <c r="H17" s="46" t="s">
        <v>12</v>
      </c>
      <c r="I17" s="47">
        <v>90</v>
      </c>
      <c r="J17" s="48"/>
      <c r="K17" s="45">
        <v>1</v>
      </c>
      <c r="L17" s="62">
        <f>EXP( VLOOKUP(1, Intercepts!A$2:R$2, P$3, FALSE) +(LOG10(C17)*( VLOOKUP(10, Age!A$3:R$3, P$3, FALSE))) + VLOOKUP(D17, Sex!A$2:R$5, P$3, FALSE) + (E17*(VLOOKUP(1, AdmitScore!A$2:R$2, P$3, FALSE))) + VLOOKUP(F17, AdmitPain!A$2:R$13, P$3, FALSE) + VLOOKUP(G17, Payer!A$2:R$8, P$3, FALSE) + VLOOKUP(H17, TxType!A$2:R$4, P$3, FALSE) + VLOOKUP('Patient Data'!I17, Duration!A$2:T$6, P$3+2, TRUE) )/(1+EXP( VLOOKUP(1, Intercepts!A$2:R$2, P$3, FALSE) + (LOG10(C17)*( VLOOKUP(10, Age!A$3:R$3, P$3, FALSE))) + VLOOKUP(D17, Sex!A$2:R$5, P$3, FALSE) + (E17*(VLOOKUP(1, AdmitScore!A$2:R$2, P$3, FALSE))) + VLOOKUP(F17, AdmitPain!A$2:R$13, P$3, FALSE) + VLOOKUP(G17, Payer!A$2:R$8, P$3, FALSE) + VLOOKUP(H17, TxType!A$2:R$4, P$3, FALSE) + VLOOKUP('Patient Data'!I17, Duration!A$2:T$6, P$3+2, TRUE) ))</f>
        <v>0.75780348683069843</v>
      </c>
      <c r="M17" s="49">
        <f t="shared" si="0"/>
        <v>1</v>
      </c>
      <c r="N17" s="50"/>
      <c r="O17" s="58" t="s">
        <v>43</v>
      </c>
      <c r="P17" s="59">
        <v>13</v>
      </c>
      <c r="Q17" s="43"/>
      <c r="R17" s="51" t="s">
        <v>73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5" t="s">
        <v>42</v>
      </c>
      <c r="C18" s="75">
        <v>46</v>
      </c>
      <c r="D18" s="46" t="s">
        <v>14</v>
      </c>
      <c r="E18" s="69">
        <v>55.978499999999997</v>
      </c>
      <c r="F18" s="46">
        <v>2</v>
      </c>
      <c r="G18" s="46" t="s">
        <v>11</v>
      </c>
      <c r="H18" s="46" t="s">
        <v>48</v>
      </c>
      <c r="I18" s="47">
        <v>90</v>
      </c>
      <c r="J18" s="48"/>
      <c r="K18" s="45">
        <v>0</v>
      </c>
      <c r="L18" s="62">
        <f>EXP( VLOOKUP(1, Intercepts!A$2:R$2, P$3, FALSE) +(LOG10(C18)*( VLOOKUP(10, Age!A$3:R$3, P$3, FALSE))) + VLOOKUP(D18, Sex!A$2:R$5, P$3, FALSE) + (E18*(VLOOKUP(1, AdmitScore!A$2:R$2, P$3, FALSE))) + VLOOKUP(F18, AdmitPain!A$2:R$13, P$3, FALSE) + VLOOKUP(G18, Payer!A$2:R$8, P$3, FALSE) + VLOOKUP(H18, TxType!A$2:R$4, P$3, FALSE) + VLOOKUP('Patient Data'!I18, Duration!A$2:T$6, P$3+2, TRUE) )/(1+EXP( VLOOKUP(1, Intercepts!A$2:R$2, P$3, FALSE) + (LOG10(C18)*( VLOOKUP(10, Age!A$3:R$3, P$3, FALSE))) + VLOOKUP(D18, Sex!A$2:R$5, P$3, FALSE) + (E18*(VLOOKUP(1, AdmitScore!A$2:R$2, P$3, FALSE))) + VLOOKUP(F18, AdmitPain!A$2:R$13, P$3, FALSE) + VLOOKUP(G18, Payer!A$2:R$8, P$3, FALSE) + VLOOKUP(H18, TxType!A$2:R$4, P$3, FALSE) + VLOOKUP('Patient Data'!I18, Duration!A$2:T$6, P$3+2, TRUE) ))</f>
        <v>0.19350501956923599</v>
      </c>
      <c r="M18" s="49">
        <f t="shared" si="0"/>
        <v>1</v>
      </c>
      <c r="N18" s="50"/>
      <c r="O18" s="58" t="s">
        <v>46</v>
      </c>
      <c r="P18" s="59">
        <v>14</v>
      </c>
      <c r="Q18" s="43"/>
      <c r="R18" s="51" t="s">
        <v>74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5" t="s">
        <v>44</v>
      </c>
      <c r="C19" s="75">
        <v>69</v>
      </c>
      <c r="D19" s="46" t="s">
        <v>10</v>
      </c>
      <c r="E19" s="69">
        <v>60.096699999999998</v>
      </c>
      <c r="F19" s="46">
        <v>5</v>
      </c>
      <c r="G19" s="46" t="s">
        <v>11</v>
      </c>
      <c r="H19" s="46" t="s">
        <v>12</v>
      </c>
      <c r="I19" s="47">
        <v>91</v>
      </c>
      <c r="J19" s="48"/>
      <c r="K19" s="45">
        <v>0</v>
      </c>
      <c r="L19" s="62">
        <f>EXP( VLOOKUP(1, Intercepts!A$2:R$2, P$3, FALSE) +(LOG10(C19)*( VLOOKUP(10, Age!A$3:R$3, P$3, FALSE))) + VLOOKUP(D19, Sex!A$2:R$5, P$3, FALSE) + (E19*(VLOOKUP(1, AdmitScore!A$2:R$2, P$3, FALSE))) + VLOOKUP(F19, AdmitPain!A$2:R$13, P$3, FALSE) + VLOOKUP(G19, Payer!A$2:R$8, P$3, FALSE) + VLOOKUP(H19, TxType!A$2:R$4, P$3, FALSE) + VLOOKUP('Patient Data'!I19, Duration!A$2:T$6, P$3+2, TRUE) )/(1+EXP( VLOOKUP(1, Intercepts!A$2:R$2, P$3, FALSE) + (LOG10(C19)*( VLOOKUP(10, Age!A$3:R$3, P$3, FALSE))) + VLOOKUP(D19, Sex!A$2:R$5, P$3, FALSE) + (E19*(VLOOKUP(1, AdmitScore!A$2:R$2, P$3, FALSE))) + VLOOKUP(F19, AdmitPain!A$2:R$13, P$3, FALSE) + VLOOKUP(G19, Payer!A$2:R$8, P$3, FALSE) + VLOOKUP(H19, TxType!A$2:R$4, P$3, FALSE) + VLOOKUP('Patient Data'!I19, Duration!A$2:T$6, P$3+2, TRUE) ))</f>
        <v>0.41293412604268465</v>
      </c>
      <c r="M19" s="49">
        <f t="shared" si="0"/>
        <v>0</v>
      </c>
      <c r="N19" s="50"/>
      <c r="O19" s="58" t="s">
        <v>49</v>
      </c>
      <c r="P19" s="59">
        <v>15</v>
      </c>
      <c r="Q19" s="43"/>
      <c r="R19" s="51" t="s">
        <v>75</v>
      </c>
      <c r="S19" s="2"/>
      <c r="T19" s="2"/>
      <c r="U19" s="2"/>
      <c r="V19" s="2"/>
      <c r="W19" s="2"/>
      <c r="X19" s="2"/>
      <c r="Y19" s="2"/>
    </row>
    <row r="20" spans="2:25" ht="16" x14ac:dyDescent="0.2">
      <c r="B20" s="45" t="s">
        <v>45</v>
      </c>
      <c r="C20" s="75">
        <v>22</v>
      </c>
      <c r="D20" s="46" t="s">
        <v>14</v>
      </c>
      <c r="E20" s="69">
        <v>34.626300000000001</v>
      </c>
      <c r="F20" s="46">
        <v>4</v>
      </c>
      <c r="G20" s="46" t="s">
        <v>11</v>
      </c>
      <c r="H20" s="86" t="s">
        <v>33</v>
      </c>
      <c r="I20" s="47">
        <v>90</v>
      </c>
      <c r="J20" s="48"/>
      <c r="K20" s="45">
        <v>1</v>
      </c>
      <c r="L20" s="62">
        <f>EXP( VLOOKUP(1, Intercepts!A$2:R$2, P$3, FALSE) +(LOG10(C20)*( VLOOKUP(10, Age!A$3:R$3, P$3, FALSE))) + VLOOKUP(D20, Sex!A$2:R$5, P$3, FALSE) + (E20*(VLOOKUP(1, AdmitScore!A$2:R$2, P$3, FALSE))) + VLOOKUP(F20, AdmitPain!A$2:R$13, P$3, FALSE) + VLOOKUP(G20, Payer!A$2:R$8, P$3, FALSE) + VLOOKUP(H20, TxType!A$2:R$4, P$3, FALSE) + VLOOKUP('Patient Data'!I20, Duration!A$2:T$6, P$3+2, TRUE) )/(1+EXP( VLOOKUP(1, Intercepts!A$2:R$2, P$3, FALSE) + (LOG10(C20)*( VLOOKUP(10, Age!A$3:R$3, P$3, FALSE))) + VLOOKUP(D20, Sex!A$2:R$5, P$3, FALSE) + (E20*(VLOOKUP(1, AdmitScore!A$2:R$2, P$3, FALSE))) + VLOOKUP(F20, AdmitPain!A$2:R$13, P$3, FALSE) + VLOOKUP(G20, Payer!A$2:R$8, P$3, FALSE) + VLOOKUP(H20, TxType!A$2:R$4, P$3, FALSE) + VLOOKUP('Patient Data'!I20, Duration!A$2:T$6, P$3+2, TRUE) ))</f>
        <v>0.55555393125212038</v>
      </c>
      <c r="M20" s="49">
        <f t="shared" si="0"/>
        <v>1</v>
      </c>
      <c r="N20" s="50"/>
      <c r="O20" s="58" t="s">
        <v>52</v>
      </c>
      <c r="P20" s="59">
        <v>16</v>
      </c>
      <c r="Q20" s="43"/>
      <c r="R20" s="51" t="s">
        <v>76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5" t="s">
        <v>47</v>
      </c>
      <c r="C21" s="75">
        <v>47</v>
      </c>
      <c r="D21" s="46" t="s">
        <v>14</v>
      </c>
      <c r="E21" s="69">
        <v>23.209099999999999</v>
      </c>
      <c r="F21" s="46">
        <v>3</v>
      </c>
      <c r="G21" s="46" t="s">
        <v>11</v>
      </c>
      <c r="H21" s="46" t="s">
        <v>48</v>
      </c>
      <c r="I21" s="47">
        <v>90</v>
      </c>
      <c r="J21" s="48"/>
      <c r="K21" s="45">
        <v>1</v>
      </c>
      <c r="L21" s="62">
        <f>EXP( VLOOKUP(1, Intercepts!A$2:R$2, P$3, FALSE) +(LOG10(C21)*( VLOOKUP(10, Age!A$3:R$3, P$3, FALSE))) + VLOOKUP(D21, Sex!A$2:R$5, P$3, FALSE) + (E21*(VLOOKUP(1, AdmitScore!A$2:R$2, P$3, FALSE))) + VLOOKUP(F21, AdmitPain!A$2:R$13, P$3, FALSE) + VLOOKUP(G21, Payer!A$2:R$8, P$3, FALSE) + VLOOKUP(H21, TxType!A$2:R$4, P$3, FALSE) + VLOOKUP('Patient Data'!I21, Duration!A$2:T$6, P$3+2, TRUE) )/(1+EXP( VLOOKUP(1, Intercepts!A$2:R$2, P$3, FALSE) + (LOG10(C21)*( VLOOKUP(10, Age!A$3:R$3, P$3, FALSE))) + VLOOKUP(D21, Sex!A$2:R$5, P$3, FALSE) + (E21*(VLOOKUP(1, AdmitScore!A$2:R$2, P$3, FALSE))) + VLOOKUP(F21, AdmitPain!A$2:R$13, P$3, FALSE) + VLOOKUP(G21, Payer!A$2:R$8, P$3, FALSE) + VLOOKUP(H21, TxType!A$2:R$4, P$3, FALSE) + VLOOKUP('Patient Data'!I21, Duration!A$2:T$6, P$3+2, TRUE) ))</f>
        <v>0.25295725764473259</v>
      </c>
      <c r="M21" s="49">
        <f t="shared" si="0"/>
        <v>1</v>
      </c>
      <c r="N21" s="50"/>
      <c r="O21" s="58" t="s">
        <v>54</v>
      </c>
      <c r="P21" s="59">
        <v>17</v>
      </c>
      <c r="Q21" s="43"/>
      <c r="R21" s="51" t="s">
        <v>77</v>
      </c>
      <c r="S21" s="2"/>
      <c r="T21" s="2"/>
      <c r="U21" s="2"/>
      <c r="V21" s="2"/>
      <c r="W21" s="2"/>
      <c r="X21" s="2"/>
      <c r="Y21" s="2"/>
    </row>
    <row r="22" spans="2:25" ht="17" thickBot="1" x14ac:dyDescent="0.25">
      <c r="B22" s="45" t="s">
        <v>50</v>
      </c>
      <c r="C22" s="75">
        <v>35</v>
      </c>
      <c r="D22" s="46" t="s">
        <v>10</v>
      </c>
      <c r="E22" s="69">
        <v>35.217399999999998</v>
      </c>
      <c r="F22" s="46">
        <v>5</v>
      </c>
      <c r="G22" s="46" t="s">
        <v>11</v>
      </c>
      <c r="H22" s="46" t="s">
        <v>48</v>
      </c>
      <c r="I22" s="47">
        <v>91</v>
      </c>
      <c r="J22" s="48"/>
      <c r="K22" s="45">
        <v>1</v>
      </c>
      <c r="L22" s="62">
        <f>EXP( VLOOKUP(1, Intercepts!A$2:R$2, P$3, FALSE) +(LOG10(C22)*( VLOOKUP(10, Age!A$3:R$3, P$3, FALSE))) + VLOOKUP(D22, Sex!A$2:R$5, P$3, FALSE) + (E22*(VLOOKUP(1, AdmitScore!A$2:R$2, P$3, FALSE))) + VLOOKUP(F22, AdmitPain!A$2:R$13, P$3, FALSE) + VLOOKUP(G22, Payer!A$2:R$8, P$3, FALSE) + VLOOKUP(H22, TxType!A$2:R$4, P$3, FALSE) + VLOOKUP('Patient Data'!I22, Duration!A$2:T$6, P$3+2, TRUE) )/(1+EXP( VLOOKUP(1, Intercepts!A$2:R$2, P$3, FALSE) + (LOG10(C22)*( VLOOKUP(10, Age!A$3:R$3, P$3, FALSE))) + VLOOKUP(D22, Sex!A$2:R$5, P$3, FALSE) + (E22*(VLOOKUP(1, AdmitScore!A$2:R$2, P$3, FALSE))) + VLOOKUP(F22, AdmitPain!A$2:R$13, P$3, FALSE) + VLOOKUP(G22, Payer!A$2:R$8, P$3, FALSE) + VLOOKUP(H22, TxType!A$2:R$4, P$3, FALSE) + VLOOKUP('Patient Data'!I22, Duration!A$2:T$6, P$3+2, TRUE) ))</f>
        <v>0.26498721185176333</v>
      </c>
      <c r="M22" s="49">
        <f t="shared" si="0"/>
        <v>1</v>
      </c>
      <c r="N22" s="50"/>
      <c r="O22" s="60" t="s">
        <v>56</v>
      </c>
      <c r="P22" s="61">
        <v>18</v>
      </c>
      <c r="Q22" s="52"/>
      <c r="R22" s="53" t="s">
        <v>78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5" t="s">
        <v>53</v>
      </c>
      <c r="C23" s="75">
        <v>86</v>
      </c>
      <c r="D23" s="46" t="s">
        <v>14</v>
      </c>
      <c r="E23" s="69">
        <v>34.261200000000002</v>
      </c>
      <c r="F23" s="46">
        <v>6</v>
      </c>
      <c r="G23" s="46" t="s">
        <v>40</v>
      </c>
      <c r="H23" s="46" t="s">
        <v>12</v>
      </c>
      <c r="I23" s="47">
        <v>91</v>
      </c>
      <c r="J23" s="48"/>
      <c r="K23" s="45">
        <v>1</v>
      </c>
      <c r="L23" s="62">
        <f>EXP( VLOOKUP(1, Intercepts!A$2:R$2, P$3, FALSE) +(LOG10(C23)*( VLOOKUP(10, Age!A$3:R$3, P$3, FALSE))) + VLOOKUP(D23, Sex!A$2:R$5, P$3, FALSE) + (E23*(VLOOKUP(1, AdmitScore!A$2:R$2, P$3, FALSE))) + VLOOKUP(F23, AdmitPain!A$2:R$13, P$3, FALSE) + VLOOKUP(G23, Payer!A$2:R$8, P$3, FALSE) + VLOOKUP(H23, TxType!A$2:R$4, P$3, FALSE) + VLOOKUP('Patient Data'!I23, Duration!A$2:T$6, P$3+2, TRUE) )/(1+EXP( VLOOKUP(1, Intercepts!A$2:R$2, P$3, FALSE) + (LOG10(C23)*( VLOOKUP(10, Age!A$3:R$3, P$3, FALSE))) + VLOOKUP(D23, Sex!A$2:R$5, P$3, FALSE) + (E23*(VLOOKUP(1, AdmitScore!A$2:R$2, P$3, FALSE))) + VLOOKUP(F23, AdmitPain!A$2:R$13, P$3, FALSE) + VLOOKUP(G23, Payer!A$2:R$8, P$3, FALSE) + VLOOKUP(H23, TxType!A$2:R$4, P$3, FALSE) + VLOOKUP('Patient Data'!I23, Duration!A$2:T$6, P$3+2, TRUE) ))</f>
        <v>0.45783780069320235</v>
      </c>
      <c r="M23" s="49">
        <f t="shared" si="0"/>
        <v>1</v>
      </c>
      <c r="N23" s="50"/>
      <c r="O23" s="48"/>
      <c r="P23" s="48"/>
      <c r="Q23" s="48"/>
      <c r="R23" s="48"/>
      <c r="S23" s="2"/>
      <c r="T23" s="2"/>
      <c r="U23" s="2"/>
      <c r="V23" s="2"/>
      <c r="W23" s="2"/>
      <c r="X23" s="2"/>
      <c r="Y23" s="2"/>
    </row>
    <row r="24" spans="2:25" ht="16" x14ac:dyDescent="0.2">
      <c r="B24" s="45" t="s">
        <v>55</v>
      </c>
      <c r="C24" s="75">
        <v>58</v>
      </c>
      <c r="D24" s="46" t="s">
        <v>14</v>
      </c>
      <c r="E24" s="69">
        <v>38.559100000000001</v>
      </c>
      <c r="F24" s="46">
        <v>7</v>
      </c>
      <c r="G24" s="46" t="s">
        <v>11</v>
      </c>
      <c r="H24" s="86" t="s">
        <v>33</v>
      </c>
      <c r="I24" s="47">
        <v>91</v>
      </c>
      <c r="J24" s="48"/>
      <c r="K24" s="45">
        <v>1</v>
      </c>
      <c r="L24" s="62">
        <f>EXP( VLOOKUP(1, Intercepts!A$2:R$2, P$3, FALSE) +(LOG10(C24)*( VLOOKUP(10, Age!A$3:R$3, P$3, FALSE))) + VLOOKUP(D24, Sex!A$2:R$5, P$3, FALSE) + (E24*(VLOOKUP(1, AdmitScore!A$2:R$2, P$3, FALSE))) + VLOOKUP(F24, AdmitPain!A$2:R$13, P$3, FALSE) + VLOOKUP(G24, Payer!A$2:R$8, P$3, FALSE) + VLOOKUP(H24, TxType!A$2:R$4, P$3, FALSE) + VLOOKUP('Patient Data'!I24, Duration!A$2:T$6, P$3+2, TRUE) )/(1+EXP( VLOOKUP(1, Intercepts!A$2:R$2, P$3, FALSE) + (LOG10(C24)*( VLOOKUP(10, Age!A$3:R$3, P$3, FALSE))) + VLOOKUP(D24, Sex!A$2:R$5, P$3, FALSE) + (E24*(VLOOKUP(1, AdmitScore!A$2:R$2, P$3, FALSE))) + VLOOKUP(F24, AdmitPain!A$2:R$13, P$3, FALSE) + VLOOKUP(G24, Payer!A$2:R$8, P$3, FALSE) + VLOOKUP(H24, TxType!A$2:R$4, P$3, FALSE) + VLOOKUP('Patient Data'!I24, Duration!A$2:T$6, P$3+2, TRUE) ))</f>
        <v>0.58213074328673831</v>
      </c>
      <c r="M24" s="49">
        <f t="shared" si="0"/>
        <v>1</v>
      </c>
      <c r="N24" s="50"/>
      <c r="O24" s="48"/>
      <c r="P24" s="48"/>
      <c r="Q24" s="48"/>
      <c r="R24" s="48"/>
      <c r="S24" s="2"/>
      <c r="T24" s="2"/>
      <c r="U24" s="2"/>
      <c r="V24" s="2"/>
      <c r="W24" s="2"/>
      <c r="X24" s="2"/>
      <c r="Y24" s="2"/>
    </row>
    <row r="25" spans="2:25" ht="16" x14ac:dyDescent="0.2">
      <c r="B25" s="45" t="s">
        <v>57</v>
      </c>
      <c r="C25" s="75">
        <v>61</v>
      </c>
      <c r="D25" s="46" t="s">
        <v>14</v>
      </c>
      <c r="E25" s="69">
        <v>36.457799999999999</v>
      </c>
      <c r="F25" s="46">
        <v>4</v>
      </c>
      <c r="G25" s="46" t="s">
        <v>11</v>
      </c>
      <c r="H25" s="46" t="s">
        <v>12</v>
      </c>
      <c r="I25" s="47">
        <v>91</v>
      </c>
      <c r="J25" s="48"/>
      <c r="K25" s="45">
        <v>1</v>
      </c>
      <c r="L25" s="62">
        <f>EXP( VLOOKUP(1, Intercepts!A$2:R$2, P$3, FALSE) +(LOG10(C25)*( VLOOKUP(10, Age!A$3:R$3, P$3, FALSE))) + VLOOKUP(D25, Sex!A$2:R$5, P$3, FALSE) + (E25*(VLOOKUP(1, AdmitScore!A$2:R$2, P$3, FALSE))) + VLOOKUP(F25, AdmitPain!A$2:R$13, P$3, FALSE) + VLOOKUP(G25, Payer!A$2:R$8, P$3, FALSE) + VLOOKUP(H25, TxType!A$2:R$4, P$3, FALSE) + VLOOKUP('Patient Data'!I25, Duration!A$2:T$6, P$3+2, TRUE) )/(1+EXP( VLOOKUP(1, Intercepts!A$2:R$2, P$3, FALSE) + (LOG10(C25)*( VLOOKUP(10, Age!A$3:R$3, P$3, FALSE))) + VLOOKUP(D25, Sex!A$2:R$5, P$3, FALSE) + (E25*(VLOOKUP(1, AdmitScore!A$2:R$2, P$3, FALSE))) + VLOOKUP(F25, AdmitPain!A$2:R$13, P$3, FALSE) + VLOOKUP(G25, Payer!A$2:R$8, P$3, FALSE) + VLOOKUP(H25, TxType!A$2:R$4, P$3, FALSE) + VLOOKUP('Patient Data'!I25, Duration!A$2:T$6, P$3+2, TRUE) ))</f>
        <v>0.32628321293020407</v>
      </c>
      <c r="M25" s="49">
        <f t="shared" si="0"/>
        <v>1</v>
      </c>
      <c r="N25" s="50"/>
      <c r="O25" s="48"/>
      <c r="P25" s="48"/>
      <c r="Q25" s="48"/>
      <c r="R25" s="48"/>
      <c r="S25" s="2"/>
      <c r="T25" s="2"/>
      <c r="U25" s="2"/>
      <c r="V25" s="2"/>
      <c r="W25" s="2"/>
      <c r="X25" s="2"/>
      <c r="Y25" s="2"/>
    </row>
    <row r="26" spans="2:25" ht="16" x14ac:dyDescent="0.2">
      <c r="B26" s="45" t="s">
        <v>58</v>
      </c>
      <c r="C26" s="75">
        <v>76</v>
      </c>
      <c r="D26" s="46" t="s">
        <v>14</v>
      </c>
      <c r="E26" s="69">
        <v>23.209099999999999</v>
      </c>
      <c r="F26" s="46">
        <v>7</v>
      </c>
      <c r="G26" s="46" t="s">
        <v>40</v>
      </c>
      <c r="H26" s="46" t="s">
        <v>48</v>
      </c>
      <c r="I26" s="47">
        <v>90</v>
      </c>
      <c r="J26" s="48"/>
      <c r="K26" s="45">
        <v>1</v>
      </c>
      <c r="L26" s="62">
        <f>EXP( VLOOKUP(1, Intercepts!A$2:R$2, P$3, FALSE) +(LOG10(C26)*( VLOOKUP(10, Age!A$3:R$3, P$3, FALSE))) + VLOOKUP(D26, Sex!A$2:R$5, P$3, FALSE) + (E26*(VLOOKUP(1, AdmitScore!A$2:R$2, P$3, FALSE))) + VLOOKUP(F26, AdmitPain!A$2:R$13, P$3, FALSE) + VLOOKUP(G26, Payer!A$2:R$8, P$3, FALSE) + VLOOKUP(H26, TxType!A$2:R$4, P$3, FALSE) + VLOOKUP('Patient Data'!I26, Duration!A$2:T$6, P$3+2, TRUE) )/(1+EXP( VLOOKUP(1, Intercepts!A$2:R$2, P$3, FALSE) + (LOG10(C26)*( VLOOKUP(10, Age!A$3:R$3, P$3, FALSE))) + VLOOKUP(D26, Sex!A$2:R$5, P$3, FALSE) + (E26*(VLOOKUP(1, AdmitScore!A$2:R$2, P$3, FALSE))) + VLOOKUP(F26, AdmitPain!A$2:R$13, P$3, FALSE) + VLOOKUP(G26, Payer!A$2:R$8, P$3, FALSE) + VLOOKUP(H26, TxType!A$2:R$4, P$3, FALSE) + VLOOKUP('Patient Data'!I26, Duration!A$2:T$6, P$3+2, TRUE) ))</f>
        <v>0.53573195370169913</v>
      </c>
      <c r="M26" s="49">
        <f t="shared" si="0"/>
        <v>1</v>
      </c>
      <c r="N26" s="50"/>
      <c r="O26" s="48"/>
      <c r="P26" s="48"/>
      <c r="Q26" s="48"/>
      <c r="R26" s="48"/>
      <c r="S26" s="2"/>
      <c r="T26" s="2"/>
      <c r="U26" s="2"/>
      <c r="V26" s="2"/>
      <c r="W26" s="2"/>
      <c r="X26" s="2"/>
      <c r="Y26" s="2"/>
    </row>
    <row r="27" spans="2:25" ht="16" x14ac:dyDescent="0.2">
      <c r="B27" s="45" t="s">
        <v>59</v>
      </c>
      <c r="C27" s="75">
        <v>50</v>
      </c>
      <c r="D27" s="46" t="s">
        <v>14</v>
      </c>
      <c r="E27" s="69">
        <v>23.209099999999999</v>
      </c>
      <c r="F27" s="46">
        <v>6</v>
      </c>
      <c r="G27" s="46" t="s">
        <v>11</v>
      </c>
      <c r="H27" s="79" t="s">
        <v>48</v>
      </c>
      <c r="I27" s="47">
        <v>90</v>
      </c>
      <c r="J27" s="48"/>
      <c r="K27" s="45">
        <v>1</v>
      </c>
      <c r="L27" s="62">
        <f>EXP( VLOOKUP(1, Intercepts!A$2:R$2, P$3, FALSE) +(LOG10(C27)*( VLOOKUP(10, Age!A$3:R$3, P$3, FALSE))) + VLOOKUP(D27, Sex!A$2:R$5, P$3, FALSE) + (E27*(VLOOKUP(1, AdmitScore!A$2:R$2, P$3, FALSE))) + VLOOKUP(F27, AdmitPain!A$2:R$13, P$3, FALSE) + VLOOKUP(G27, Payer!A$2:R$8, P$3, FALSE) + VLOOKUP(H27, TxType!A$2:R$4, P$3, FALSE) + VLOOKUP('Patient Data'!I27, Duration!A$2:T$6, P$3+2, TRUE) )/(1+EXP( VLOOKUP(1, Intercepts!A$2:R$2, P$3, FALSE) + (LOG10(C27)*( VLOOKUP(10, Age!A$3:R$3, P$3, FALSE))) + VLOOKUP(D27, Sex!A$2:R$5, P$3, FALSE) + (E27*(VLOOKUP(1, AdmitScore!A$2:R$2, P$3, FALSE))) + VLOOKUP(F27, AdmitPain!A$2:R$13, P$3, FALSE) + VLOOKUP(G27, Payer!A$2:R$8, P$3, FALSE) + VLOOKUP(H27, TxType!A$2:R$4, P$3, FALSE) + VLOOKUP('Patient Data'!I27, Duration!A$2:T$6, P$3+2, TRUE) ))</f>
        <v>0.48777898624409644</v>
      </c>
      <c r="M27" s="49">
        <f t="shared" si="0"/>
        <v>1</v>
      </c>
      <c r="N27" s="5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4" t="s">
        <v>60</v>
      </c>
      <c r="C28" s="76">
        <v>32</v>
      </c>
      <c r="D28" s="55" t="s">
        <v>10</v>
      </c>
      <c r="E28" s="70">
        <v>65.302899999999994</v>
      </c>
      <c r="F28" s="55">
        <v>6</v>
      </c>
      <c r="G28" s="55" t="s">
        <v>11</v>
      </c>
      <c r="H28" s="55" t="s">
        <v>12</v>
      </c>
      <c r="I28" s="56">
        <v>91</v>
      </c>
      <c r="J28" s="48"/>
      <c r="K28" s="54">
        <v>1</v>
      </c>
      <c r="L28" s="63">
        <f>EXP( VLOOKUP(1, Intercepts!A$2:R$2, P$3, FALSE) +(LOG10(C28)*( VLOOKUP(10, Age!A$3:R$3, P$3, FALSE))) + VLOOKUP(D28, Sex!A$2:R$5, P$3, FALSE) + (E28*(VLOOKUP(1, AdmitScore!A$2:R$2, P$3, FALSE))) + VLOOKUP(F28, AdmitPain!A$2:R$13, P$3, FALSE) + VLOOKUP(G28, Payer!A$2:R$8, P$3, FALSE) + VLOOKUP(H28, TxType!A$2:R$4, P$3, FALSE) + VLOOKUP('Patient Data'!I28, Duration!A$2:T$6, P$3+2, TRUE) )/(1+EXP( VLOOKUP(1, Intercepts!A$2:R$2, P$3, FALSE) + (LOG10(C28)*( VLOOKUP(10, Age!A$3:R$3, P$3, FALSE))) + VLOOKUP(D28, Sex!A$2:R$5, P$3, FALSE) + (E28*(VLOOKUP(1, AdmitScore!A$2:R$2, P$3, FALSE))) + VLOOKUP(F28, AdmitPain!A$2:R$13, P$3, FALSE) + VLOOKUP(G28, Payer!A$2:R$8, P$3, FALSE) + VLOOKUP(H28, TxType!A$2:R$4, P$3, FALSE) + VLOOKUP('Patient Data'!I28, Duration!A$2:T$6, P$3+2, TRUE) ))</f>
        <v>0.53776060952379068</v>
      </c>
      <c r="M28" s="57">
        <f t="shared" si="0"/>
        <v>1</v>
      </c>
      <c r="N28" s="5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 ht="16" x14ac:dyDescent="0.2">
      <c r="B29" s="31"/>
      <c r="C29" s="77"/>
      <c r="D29" s="31"/>
      <c r="E29" s="71"/>
      <c r="F29" s="31"/>
      <c r="G29" s="31"/>
      <c r="H29" s="31"/>
      <c r="I29" s="31"/>
      <c r="J29" s="31"/>
      <c r="K29" s="35"/>
      <c r="L29" s="31"/>
      <c r="M29" s="33"/>
      <c r="N29" s="3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1"/>
      <c r="C30" s="77"/>
      <c r="D30" s="31"/>
      <c r="E30" s="71"/>
      <c r="F30" s="31"/>
      <c r="G30" s="31"/>
      <c r="H30" s="31"/>
      <c r="I30" s="31"/>
      <c r="J30" s="31"/>
      <c r="K30" s="35"/>
      <c r="L30" s="31"/>
      <c r="M30" s="33"/>
      <c r="N30" s="3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1"/>
      <c r="C31" s="77"/>
      <c r="D31" s="31"/>
      <c r="E31" s="71"/>
      <c r="F31" s="31"/>
      <c r="G31" s="31"/>
      <c r="H31" s="31"/>
      <c r="I31" s="31"/>
      <c r="J31" s="31"/>
      <c r="K31" s="35"/>
      <c r="L31" s="31"/>
      <c r="M31" s="33"/>
      <c r="N31" s="3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78"/>
      <c r="D32" s="2"/>
      <c r="E32" s="72"/>
      <c r="F32" s="2"/>
      <c r="G32" s="2"/>
      <c r="H32" s="2"/>
      <c r="I32" s="2"/>
      <c r="J32" s="2"/>
      <c r="K32" s="36"/>
      <c r="L32" s="2"/>
      <c r="M32" s="36"/>
      <c r="N32" s="36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78"/>
      <c r="D33" s="2"/>
      <c r="E33" s="72"/>
      <c r="F33" s="2"/>
      <c r="G33" s="2"/>
      <c r="H33" s="2"/>
      <c r="I33" s="2"/>
      <c r="J33" s="2"/>
      <c r="K33" s="34" t="s">
        <v>98</v>
      </c>
      <c r="L33" s="2"/>
      <c r="M33" s="34" t="s">
        <v>97</v>
      </c>
      <c r="N33" s="3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78"/>
      <c r="D34" s="2"/>
      <c r="E34" s="72"/>
      <c r="F34" s="2"/>
      <c r="G34" s="2"/>
      <c r="H34" s="2"/>
      <c r="I34" s="2"/>
      <c r="K34" s="32">
        <f>AVERAGE(K4:K28)</f>
        <v>0.8</v>
      </c>
      <c r="L34" s="2"/>
      <c r="M34" s="32">
        <f>AVERAGE(M4:M28)</f>
        <v>0.88</v>
      </c>
      <c r="N34" s="3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78"/>
      <c r="D35" s="2"/>
      <c r="E35" s="72"/>
      <c r="F35" s="2"/>
      <c r="G35" s="2"/>
      <c r="H35" s="2"/>
      <c r="I35" s="2"/>
      <c r="J35" s="2"/>
      <c r="K35" s="36"/>
      <c r="L35" s="2"/>
      <c r="M35" s="36"/>
      <c r="N35" s="3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78"/>
      <c r="D36" s="2"/>
      <c r="E36" s="72"/>
      <c r="F36" s="2"/>
      <c r="G36" s="2"/>
      <c r="H36" s="2"/>
      <c r="I36" s="2"/>
      <c r="J36" s="2"/>
      <c r="K36" s="36"/>
      <c r="L36" s="2"/>
      <c r="M36" s="36"/>
      <c r="N36" s="3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78"/>
      <c r="D37" s="2"/>
      <c r="E37" s="72"/>
      <c r="F37" s="2"/>
      <c r="G37" s="2"/>
      <c r="H37" s="2"/>
      <c r="I37" s="2"/>
      <c r="J37" s="2"/>
      <c r="K37" s="36"/>
      <c r="L37" s="2"/>
      <c r="M37" s="36"/>
      <c r="N37" s="3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78"/>
      <c r="D38" s="2"/>
      <c r="E38" s="72"/>
      <c r="F38" s="2"/>
      <c r="G38" s="2"/>
      <c r="H38" s="2"/>
      <c r="I38" s="2"/>
      <c r="J38" s="2"/>
      <c r="K38" s="36"/>
      <c r="L38" s="2"/>
      <c r="M38" s="36"/>
      <c r="N38" s="36"/>
      <c r="O38" s="2"/>
      <c r="P38" s="2"/>
      <c r="Q38" s="2"/>
      <c r="R38" s="2"/>
      <c r="S38" s="2"/>
      <c r="T38" s="2" t="s">
        <v>105</v>
      </c>
      <c r="U38" s="2"/>
      <c r="V38" s="2"/>
      <c r="W38" s="2"/>
      <c r="X38" s="2"/>
      <c r="Y38" s="2"/>
    </row>
    <row r="39" spans="2:25" ht="16" x14ac:dyDescent="0.2">
      <c r="B39" s="2"/>
      <c r="C39" s="78"/>
      <c r="D39" s="2"/>
      <c r="E39" s="72"/>
      <c r="F39" s="2"/>
      <c r="G39" s="2"/>
      <c r="H39" s="2"/>
      <c r="I39" s="2"/>
      <c r="J39" s="2"/>
      <c r="K39" s="36"/>
      <c r="L39" s="2"/>
      <c r="M39" s="36"/>
      <c r="N39" s="3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78"/>
      <c r="D40" s="2"/>
      <c r="E40" s="72"/>
      <c r="F40" s="2"/>
      <c r="G40" s="2"/>
      <c r="H40" s="2"/>
      <c r="I40" s="2"/>
      <c r="J40" s="2"/>
      <c r="K40" s="36"/>
      <c r="L40" s="2"/>
      <c r="M40" s="36"/>
      <c r="N40" s="3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78"/>
      <c r="D41" s="2"/>
      <c r="E41" s="72"/>
      <c r="F41" s="2"/>
      <c r="G41" s="2"/>
      <c r="H41" s="2"/>
      <c r="I41" s="2"/>
      <c r="J41" s="2"/>
      <c r="K41" s="36"/>
      <c r="L41" s="2"/>
      <c r="M41" s="36"/>
      <c r="N41" s="3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78"/>
      <c r="D42" s="2"/>
      <c r="E42" s="72"/>
      <c r="F42" s="2"/>
      <c r="G42" s="2"/>
      <c r="H42" s="2"/>
      <c r="I42" s="2"/>
      <c r="J42" s="2"/>
      <c r="K42" s="36"/>
      <c r="L42" s="2"/>
      <c r="M42" s="36"/>
      <c r="N42" s="3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78"/>
      <c r="D43" s="2"/>
      <c r="E43" s="72"/>
      <c r="F43" s="2"/>
      <c r="G43" s="2"/>
      <c r="H43" s="2"/>
      <c r="I43" s="2"/>
      <c r="J43" s="2"/>
      <c r="K43" s="36"/>
      <c r="L43" s="2"/>
      <c r="M43" s="36"/>
      <c r="N43" s="3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78"/>
      <c r="D44" s="2"/>
      <c r="E44" s="72"/>
      <c r="F44" s="2"/>
      <c r="G44" s="2"/>
      <c r="H44" s="2"/>
      <c r="I44" s="2"/>
      <c r="J44" s="2"/>
      <c r="K44" s="36"/>
      <c r="L44" s="2"/>
      <c r="M44" s="36"/>
      <c r="N44" s="3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78"/>
      <c r="D45" s="2"/>
      <c r="E45" s="72"/>
      <c r="F45" s="2"/>
      <c r="G45" s="2"/>
      <c r="H45" s="2"/>
      <c r="I45" s="2"/>
      <c r="J45" s="2"/>
      <c r="K45" s="36"/>
      <c r="L45" s="2"/>
      <c r="M45" s="36"/>
      <c r="N45" s="3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78"/>
      <c r="D46" s="2"/>
      <c r="E46" s="72"/>
      <c r="F46" s="2"/>
      <c r="G46" s="2"/>
      <c r="H46" s="2"/>
      <c r="I46" s="2"/>
      <c r="J46" s="2"/>
      <c r="K46" s="36"/>
      <c r="L46" s="2"/>
      <c r="M46" s="36"/>
      <c r="N46" s="3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78"/>
      <c r="D47" s="2"/>
      <c r="E47" s="72"/>
      <c r="F47" s="2"/>
      <c r="G47" s="2"/>
      <c r="H47" s="2"/>
      <c r="I47" s="2"/>
      <c r="J47" s="2"/>
      <c r="K47" s="36"/>
      <c r="L47" s="2"/>
      <c r="M47" s="36"/>
      <c r="N47" s="3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78"/>
      <c r="D48" s="2"/>
      <c r="E48" s="72"/>
      <c r="F48" s="2"/>
      <c r="G48" s="2"/>
      <c r="H48" s="2"/>
      <c r="I48" s="2"/>
      <c r="J48" s="2"/>
      <c r="K48" s="36"/>
      <c r="L48" s="2"/>
      <c r="M48" s="36"/>
      <c r="N48" s="3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78"/>
      <c r="D49" s="2"/>
      <c r="E49" s="72"/>
      <c r="F49" s="2"/>
      <c r="G49" s="2"/>
      <c r="H49" s="2"/>
      <c r="I49" s="2"/>
      <c r="J49" s="2"/>
      <c r="K49" s="36"/>
      <c r="L49" s="2"/>
      <c r="M49" s="36"/>
      <c r="N49" s="3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78"/>
      <c r="D50" s="2"/>
      <c r="E50" s="72"/>
      <c r="F50" s="2"/>
      <c r="H50" s="2"/>
      <c r="I50" s="2"/>
      <c r="J50" s="2"/>
      <c r="K50" s="36"/>
      <c r="L50" s="2"/>
      <c r="M50" s="36"/>
      <c r="N50" s="3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78"/>
      <c r="D51" s="2"/>
      <c r="E51" s="72"/>
      <c r="F51" s="2"/>
      <c r="H51" s="2"/>
      <c r="I51" s="2"/>
      <c r="J51" s="2"/>
      <c r="K51" s="36"/>
      <c r="L51" s="2"/>
      <c r="M51" s="36"/>
      <c r="N51" s="3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78"/>
      <c r="D52" s="2"/>
      <c r="E52" s="72"/>
      <c r="F52" s="2"/>
      <c r="H52" s="2"/>
      <c r="I52" s="2"/>
      <c r="J52" s="2"/>
      <c r="K52" s="36"/>
      <c r="L52" s="2"/>
      <c r="M52" s="36"/>
      <c r="N52" s="3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78"/>
      <c r="D53" s="2"/>
      <c r="E53" s="72"/>
      <c r="F53" s="2"/>
      <c r="H53" s="2"/>
      <c r="I53" s="2"/>
      <c r="J53" s="2"/>
      <c r="K53" s="36"/>
      <c r="L53" s="2"/>
      <c r="M53" s="36"/>
      <c r="N53" s="3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78"/>
      <c r="D54" s="2"/>
      <c r="E54" s="72"/>
      <c r="F54" s="2"/>
      <c r="H54" s="2"/>
      <c r="I54" s="2"/>
      <c r="J54" s="2"/>
      <c r="K54" s="36"/>
      <c r="L54" s="2"/>
      <c r="M54" s="36"/>
      <c r="N54" s="3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78"/>
      <c r="D55" s="2"/>
      <c r="E55" s="72"/>
      <c r="F55" s="2"/>
      <c r="H55" s="2"/>
      <c r="I55" s="2"/>
      <c r="J55" s="2"/>
      <c r="K55" s="36"/>
      <c r="L55" s="2"/>
      <c r="M55" s="36"/>
      <c r="N55" s="3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78"/>
      <c r="D56" s="2"/>
      <c r="E56" s="72"/>
      <c r="F56" s="2"/>
      <c r="H56" s="2"/>
      <c r="I56" s="2"/>
      <c r="J56" s="2"/>
      <c r="K56" s="36"/>
      <c r="L56" s="2"/>
      <c r="M56" s="36"/>
      <c r="N56" s="3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78"/>
      <c r="D57" s="2"/>
      <c r="E57" s="72"/>
      <c r="F57" s="2"/>
      <c r="G57" s="2"/>
      <c r="H57" s="2"/>
      <c r="I57" s="2"/>
      <c r="J57" s="2"/>
      <c r="K57" s="36"/>
      <c r="L57" s="2"/>
      <c r="M57" s="36"/>
      <c r="N57" s="3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78"/>
      <c r="D58" s="2"/>
      <c r="E58" s="72"/>
      <c r="F58" s="2"/>
      <c r="G58" s="2"/>
      <c r="H58" s="2"/>
      <c r="I58" s="2"/>
      <c r="J58" s="2"/>
      <c r="K58" s="36"/>
      <c r="L58" s="2"/>
      <c r="M58" s="36"/>
      <c r="N58" s="3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78"/>
      <c r="D59" s="2"/>
      <c r="E59" s="72"/>
      <c r="F59" s="2"/>
      <c r="G59" s="2"/>
      <c r="H59" s="2"/>
      <c r="I59" s="2"/>
      <c r="J59" s="2"/>
      <c r="K59" s="36"/>
      <c r="L59" s="2"/>
      <c r="M59" s="36"/>
      <c r="N59" s="3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78"/>
      <c r="D60" s="2"/>
      <c r="E60" s="72"/>
      <c r="F60" s="2"/>
      <c r="G60" s="2"/>
      <c r="H60" s="2"/>
      <c r="I60" s="2"/>
      <c r="J60" s="2"/>
      <c r="K60" s="36"/>
      <c r="L60" s="2"/>
      <c r="M60" s="36"/>
      <c r="N60" s="3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78"/>
      <c r="D61" s="2"/>
      <c r="E61" s="72"/>
      <c r="F61" s="2"/>
      <c r="G61" s="2"/>
      <c r="H61" s="2"/>
      <c r="I61" s="2"/>
      <c r="J61" s="2"/>
      <c r="K61" s="36"/>
      <c r="L61" s="2"/>
      <c r="M61" s="36"/>
      <c r="N61" s="3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78"/>
      <c r="D62" s="2"/>
      <c r="E62" s="72"/>
      <c r="F62" s="2"/>
      <c r="G62" s="2"/>
      <c r="H62" s="2"/>
      <c r="I62" s="2"/>
      <c r="J62" s="2"/>
      <c r="K62" s="36"/>
      <c r="L62" s="2"/>
      <c r="M62" s="36"/>
      <c r="N62" s="3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78"/>
      <c r="D63" s="2"/>
      <c r="E63" s="72"/>
      <c r="F63" s="2"/>
      <c r="G63" s="2"/>
      <c r="H63" s="2"/>
      <c r="I63" s="2"/>
      <c r="J63" s="2"/>
      <c r="K63" s="36"/>
      <c r="L63" s="2"/>
      <c r="M63" s="36"/>
      <c r="N63" s="3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78"/>
      <c r="D64" s="2"/>
      <c r="E64" s="72"/>
      <c r="F64" s="2"/>
      <c r="G64" s="2"/>
      <c r="H64" s="2"/>
      <c r="I64" s="2"/>
      <c r="J64" s="2"/>
      <c r="K64" s="36"/>
      <c r="L64" s="2"/>
      <c r="M64" s="36"/>
      <c r="N64" s="3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78"/>
      <c r="D65" s="2"/>
      <c r="E65" s="72"/>
      <c r="F65" s="2"/>
      <c r="G65" s="2"/>
      <c r="H65" s="2"/>
      <c r="I65" s="2"/>
      <c r="J65" s="2"/>
      <c r="K65" s="36"/>
      <c r="L65" s="2"/>
      <c r="M65" s="36"/>
      <c r="N65" s="3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78"/>
      <c r="D66" s="2"/>
      <c r="E66" s="72"/>
      <c r="F66" s="2"/>
      <c r="G66" s="2"/>
      <c r="H66" s="2"/>
      <c r="I66" s="2"/>
      <c r="J66" s="2"/>
      <c r="K66" s="36"/>
      <c r="L66" s="2"/>
      <c r="M66" s="36"/>
      <c r="N66" s="3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78"/>
      <c r="D67" s="2"/>
      <c r="E67" s="72"/>
      <c r="F67" s="2"/>
      <c r="G67" s="2"/>
      <c r="H67" s="2"/>
      <c r="I67" s="2"/>
      <c r="J67" s="2"/>
      <c r="K67" s="36"/>
      <c r="L67" s="2"/>
      <c r="M67" s="36"/>
      <c r="N67" s="3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78"/>
      <c r="D68" s="2"/>
      <c r="E68" s="72"/>
      <c r="F68" s="2"/>
      <c r="G68" s="2"/>
      <c r="H68" s="2"/>
      <c r="I68" s="2"/>
      <c r="J68" s="2"/>
      <c r="K68" s="36"/>
      <c r="L68" s="2"/>
      <c r="M68" s="36"/>
      <c r="N68" s="3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78"/>
      <c r="D69" s="2"/>
      <c r="E69" s="72"/>
      <c r="F69" s="2"/>
      <c r="G69" s="2"/>
      <c r="H69" s="2"/>
      <c r="I69" s="2"/>
      <c r="J69" s="2"/>
      <c r="K69" s="36"/>
      <c r="L69" s="2"/>
      <c r="M69" s="36"/>
      <c r="N69" s="3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78"/>
      <c r="D70" s="2"/>
      <c r="E70" s="72"/>
      <c r="F70" s="2"/>
      <c r="G70" s="2"/>
      <c r="H70" s="2"/>
      <c r="I70" s="2"/>
      <c r="J70" s="2"/>
      <c r="K70" s="36"/>
      <c r="L70" s="2"/>
      <c r="M70" s="36"/>
      <c r="N70" s="3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78"/>
      <c r="D71" s="2"/>
      <c r="E71" s="72"/>
      <c r="F71" s="2"/>
      <c r="G71" s="2"/>
      <c r="H71" s="2"/>
      <c r="I71" s="2"/>
      <c r="J71" s="2"/>
      <c r="K71" s="36"/>
      <c r="L71" s="2"/>
      <c r="M71" s="36"/>
      <c r="N71" s="3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78"/>
      <c r="D72" s="2"/>
      <c r="E72" s="72"/>
      <c r="F72" s="2"/>
      <c r="G72" s="2"/>
      <c r="H72" s="2"/>
      <c r="I72" s="2"/>
      <c r="J72" s="2"/>
      <c r="K72" s="36"/>
      <c r="L72" s="2"/>
      <c r="M72" s="36"/>
      <c r="N72" s="3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78"/>
      <c r="D73" s="2"/>
      <c r="E73" s="72"/>
      <c r="F73" s="2"/>
      <c r="G73" s="2"/>
      <c r="H73" s="2"/>
      <c r="I73" s="2"/>
      <c r="J73" s="2"/>
      <c r="K73" s="36"/>
      <c r="L73" s="2"/>
      <c r="M73" s="36"/>
      <c r="N73" s="3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78"/>
      <c r="D74" s="2"/>
      <c r="E74" s="72"/>
      <c r="F74" s="2"/>
      <c r="G74" s="2"/>
      <c r="H74" s="2"/>
      <c r="I74" s="2"/>
      <c r="J74" s="2"/>
      <c r="K74" s="36"/>
      <c r="L74" s="2"/>
      <c r="M74" s="36"/>
      <c r="N74" s="3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78"/>
      <c r="D75" s="2"/>
      <c r="E75" s="72"/>
      <c r="F75" s="2"/>
      <c r="G75" s="2"/>
      <c r="H75" s="2"/>
      <c r="I75" s="2"/>
      <c r="J75" s="2"/>
      <c r="K75" s="36"/>
      <c r="L75" s="2"/>
      <c r="M75" s="36"/>
      <c r="N75" s="3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78"/>
      <c r="D76" s="2"/>
      <c r="E76" s="72"/>
      <c r="F76" s="2"/>
      <c r="G76" s="2"/>
      <c r="H76" s="2"/>
      <c r="I76" s="2"/>
      <c r="J76" s="2"/>
      <c r="K76" s="36"/>
      <c r="L76" s="2"/>
      <c r="M76" s="36"/>
      <c r="N76" s="3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78"/>
      <c r="D77" s="2"/>
      <c r="E77" s="72"/>
      <c r="F77" s="2"/>
      <c r="G77" s="2"/>
      <c r="H77" s="2"/>
      <c r="I77" s="2"/>
      <c r="J77" s="2"/>
      <c r="K77" s="36"/>
      <c r="L77" s="2"/>
      <c r="M77" s="36"/>
      <c r="N77" s="3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78"/>
      <c r="D78" s="2"/>
      <c r="E78" s="72"/>
      <c r="F78" s="2"/>
      <c r="G78" s="2"/>
      <c r="H78" s="2"/>
      <c r="I78" s="2"/>
      <c r="J78" s="2"/>
      <c r="K78" s="36"/>
      <c r="L78" s="2"/>
      <c r="M78" s="36"/>
      <c r="N78" s="3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78"/>
      <c r="D79" s="2"/>
      <c r="E79" s="72"/>
      <c r="F79" s="2"/>
      <c r="G79" s="2"/>
      <c r="H79" s="2"/>
      <c r="I79" s="2"/>
      <c r="J79" s="2"/>
      <c r="K79" s="36"/>
      <c r="L79" s="2"/>
      <c r="M79" s="36"/>
      <c r="N79" s="3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78"/>
      <c r="D80" s="2"/>
      <c r="E80" s="72"/>
      <c r="F80" s="2"/>
      <c r="G80" s="2"/>
      <c r="H80" s="2"/>
      <c r="I80" s="2"/>
      <c r="J80" s="2"/>
      <c r="K80" s="36"/>
      <c r="L80" s="2"/>
      <c r="M80" s="36"/>
      <c r="N80" s="3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78"/>
      <c r="D81" s="2"/>
      <c r="E81" s="72"/>
      <c r="F81" s="2"/>
      <c r="G81" s="2"/>
      <c r="H81" s="2"/>
      <c r="I81" s="2"/>
      <c r="J81" s="2"/>
      <c r="K81" s="36"/>
      <c r="L81" s="2"/>
      <c r="M81" s="36"/>
      <c r="N81" s="3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78"/>
      <c r="D82" s="2"/>
      <c r="E82" s="72"/>
      <c r="F82" s="2"/>
      <c r="G82" s="2"/>
      <c r="H82" s="2"/>
      <c r="I82" s="2"/>
      <c r="J82" s="2"/>
      <c r="K82" s="36"/>
      <c r="L82" s="2"/>
      <c r="M82" s="36"/>
      <c r="N82" s="3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78"/>
      <c r="D83" s="2"/>
      <c r="E83" s="72"/>
      <c r="F83" s="2"/>
      <c r="G83" s="2"/>
      <c r="H83" s="2"/>
      <c r="I83" s="2"/>
      <c r="J83" s="2"/>
      <c r="K83" s="36"/>
      <c r="L83" s="2"/>
      <c r="M83" s="36"/>
      <c r="N83" s="3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78"/>
      <c r="D84" s="2"/>
      <c r="E84" s="72"/>
      <c r="F84" s="2"/>
      <c r="G84" s="2"/>
      <c r="H84" s="2"/>
      <c r="I84" s="2"/>
      <c r="J84" s="2"/>
      <c r="K84" s="36"/>
      <c r="L84" s="2"/>
      <c r="M84" s="36"/>
      <c r="N84" s="3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78"/>
      <c r="D85" s="2"/>
      <c r="E85" s="72"/>
      <c r="F85" s="2"/>
      <c r="G85" s="2"/>
      <c r="H85" s="2"/>
      <c r="I85" s="2"/>
      <c r="J85" s="2"/>
      <c r="K85" s="36"/>
      <c r="L85" s="2"/>
      <c r="M85" s="36"/>
      <c r="N85" s="3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78"/>
      <c r="D86" s="2"/>
      <c r="E86" s="72"/>
      <c r="F86" s="2"/>
      <c r="G86" s="2"/>
      <c r="H86" s="2"/>
      <c r="I86" s="2"/>
      <c r="J86" s="2"/>
      <c r="K86" s="36"/>
      <c r="L86" s="2"/>
      <c r="M86" s="36"/>
      <c r="N86" s="3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78"/>
      <c r="D87" s="2"/>
      <c r="E87" s="72"/>
      <c r="F87" s="2"/>
      <c r="G87" s="2"/>
      <c r="H87" s="2"/>
      <c r="I87" s="2"/>
      <c r="J87" s="2"/>
      <c r="K87" s="36"/>
      <c r="L87" s="2"/>
      <c r="M87" s="36"/>
      <c r="N87" s="3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78"/>
      <c r="D88" s="2"/>
      <c r="E88" s="72"/>
      <c r="F88" s="2"/>
      <c r="G88" s="2"/>
      <c r="H88" s="2"/>
      <c r="I88" s="2"/>
      <c r="J88" s="2"/>
      <c r="K88" s="36"/>
      <c r="L88" s="2"/>
      <c r="M88" s="36"/>
      <c r="N88" s="3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78"/>
      <c r="D89" s="2"/>
      <c r="E89" s="72"/>
      <c r="F89" s="2"/>
      <c r="G89" s="2"/>
      <c r="H89" s="2"/>
      <c r="I89" s="2"/>
      <c r="J89" s="2"/>
      <c r="K89" s="36"/>
      <c r="L89" s="2"/>
      <c r="M89" s="36"/>
      <c r="N89" s="3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78"/>
      <c r="D90" s="2"/>
      <c r="E90" s="72"/>
      <c r="F90" s="2"/>
      <c r="G90" s="2"/>
      <c r="H90" s="2"/>
      <c r="I90" s="2"/>
      <c r="J90" s="2"/>
      <c r="K90" s="36"/>
      <c r="L90" s="2"/>
      <c r="M90" s="36"/>
      <c r="N90" s="3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78"/>
      <c r="D91" s="2"/>
      <c r="E91" s="72"/>
      <c r="F91" s="2"/>
      <c r="G91" s="2"/>
      <c r="H91" s="2"/>
      <c r="I91" s="2"/>
      <c r="J91" s="2"/>
      <c r="K91" s="36"/>
      <c r="L91" s="2"/>
      <c r="M91" s="36"/>
      <c r="N91" s="3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78"/>
      <c r="D92" s="2"/>
      <c r="E92" s="72"/>
      <c r="F92" s="2"/>
      <c r="G92" s="2"/>
      <c r="H92" s="2"/>
      <c r="I92" s="2"/>
      <c r="J92" s="2"/>
      <c r="K92" s="36"/>
      <c r="L92" s="2"/>
      <c r="M92" s="36"/>
      <c r="N92" s="3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78"/>
      <c r="D93" s="2"/>
      <c r="E93" s="72"/>
      <c r="F93" s="2"/>
      <c r="G93" s="2"/>
      <c r="H93" s="2"/>
      <c r="I93" s="2"/>
      <c r="J93" s="2"/>
      <c r="K93" s="36"/>
      <c r="L93" s="2"/>
      <c r="M93" s="36"/>
      <c r="N93" s="3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78"/>
      <c r="D94" s="2"/>
      <c r="E94" s="72"/>
      <c r="F94" s="2"/>
      <c r="G94" s="2"/>
      <c r="H94" s="2"/>
      <c r="I94" s="2"/>
      <c r="J94" s="2"/>
      <c r="K94" s="36"/>
      <c r="L94" s="2"/>
      <c r="M94" s="36"/>
      <c r="N94" s="3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78"/>
      <c r="D95" s="2"/>
      <c r="E95" s="72"/>
      <c r="F95" s="2"/>
      <c r="G95" s="2"/>
      <c r="H95" s="2"/>
      <c r="I95" s="2"/>
      <c r="J95" s="2"/>
      <c r="K95" s="36"/>
      <c r="L95" s="2"/>
      <c r="M95" s="36"/>
      <c r="N95" s="3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78"/>
      <c r="D96" s="2"/>
      <c r="E96" s="72"/>
      <c r="F96" s="2"/>
      <c r="G96" s="2"/>
      <c r="H96" s="2"/>
      <c r="I96" s="2"/>
      <c r="J96" s="2"/>
      <c r="K96" s="36"/>
      <c r="L96" s="2"/>
      <c r="M96" s="36"/>
      <c r="N96" s="3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78"/>
      <c r="D97" s="2"/>
      <c r="E97" s="72"/>
      <c r="F97" s="2"/>
      <c r="G97" s="2"/>
      <c r="H97" s="2"/>
      <c r="I97" s="2"/>
      <c r="J97" s="2"/>
      <c r="K97" s="36"/>
      <c r="L97" s="2"/>
      <c r="M97" s="36"/>
      <c r="N97" s="3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78"/>
      <c r="D98" s="2"/>
      <c r="E98" s="72"/>
      <c r="F98" s="2"/>
      <c r="G98" s="2"/>
      <c r="H98" s="2"/>
      <c r="I98" s="2"/>
      <c r="J98" s="2"/>
      <c r="K98" s="36"/>
      <c r="L98" s="2"/>
      <c r="M98" s="36"/>
      <c r="N98" s="3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78"/>
      <c r="D99" s="2"/>
      <c r="E99" s="72"/>
      <c r="F99" s="2"/>
      <c r="G99" s="2"/>
      <c r="H99" s="2"/>
      <c r="I99" s="2"/>
      <c r="J99" s="2"/>
      <c r="K99" s="36"/>
      <c r="L99" s="2"/>
      <c r="M99" s="36"/>
      <c r="N99" s="3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78"/>
      <c r="D100" s="2"/>
      <c r="E100" s="72"/>
      <c r="F100" s="2"/>
      <c r="G100" s="2"/>
      <c r="H100" s="2"/>
      <c r="I100" s="2"/>
      <c r="J100" s="2"/>
      <c r="K100" s="36"/>
      <c r="L100" s="2"/>
      <c r="M100" s="36"/>
      <c r="N100" s="3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78"/>
      <c r="D101" s="2"/>
      <c r="E101" s="72"/>
      <c r="F101" s="2"/>
      <c r="G101" s="2"/>
      <c r="H101" s="2"/>
      <c r="I101" s="2"/>
      <c r="J101" s="2"/>
      <c r="K101" s="36"/>
      <c r="L101" s="2"/>
      <c r="M101" s="36"/>
      <c r="N101" s="3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78"/>
      <c r="D102" s="2"/>
      <c r="E102" s="72"/>
      <c r="F102" s="2"/>
      <c r="G102" s="2"/>
      <c r="H102" s="2"/>
      <c r="I102" s="2"/>
      <c r="J102" s="2"/>
      <c r="K102" s="36"/>
      <c r="L102" s="2"/>
      <c r="M102" s="36"/>
      <c r="N102" s="3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78"/>
      <c r="D103" s="2"/>
      <c r="E103" s="72"/>
      <c r="F103" s="2"/>
      <c r="G103" s="2"/>
      <c r="H103" s="2"/>
      <c r="I103" s="2"/>
      <c r="J103" s="2"/>
      <c r="K103" s="36"/>
      <c r="L103" s="2"/>
      <c r="M103" s="36"/>
      <c r="N103" s="3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78"/>
      <c r="D104" s="2"/>
      <c r="E104" s="72"/>
      <c r="F104" s="2"/>
      <c r="G104" s="2"/>
      <c r="H104" s="2"/>
      <c r="I104" s="2"/>
      <c r="J104" s="2"/>
      <c r="K104" s="36"/>
      <c r="L104" s="2"/>
      <c r="M104" s="36"/>
      <c r="N104" s="3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78"/>
      <c r="D105" s="2"/>
      <c r="E105" s="72"/>
      <c r="F105" s="2"/>
      <c r="G105" s="2"/>
      <c r="H105" s="2"/>
      <c r="I105" s="2"/>
      <c r="J105" s="2"/>
      <c r="K105" s="36"/>
      <c r="L105" s="2"/>
      <c r="M105" s="36"/>
      <c r="N105" s="3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78"/>
      <c r="D106" s="2"/>
      <c r="E106" s="72"/>
      <c r="F106" s="2"/>
      <c r="G106" s="2"/>
      <c r="H106" s="2"/>
      <c r="I106" s="2"/>
      <c r="J106" s="2"/>
      <c r="K106" s="36"/>
      <c r="L106" s="2"/>
      <c r="M106" s="36"/>
      <c r="N106" s="3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78"/>
      <c r="D107" s="2"/>
      <c r="E107" s="72"/>
      <c r="F107" s="2"/>
      <c r="G107" s="2"/>
      <c r="H107" s="2"/>
      <c r="I107" s="2"/>
      <c r="J107" s="2"/>
      <c r="K107" s="36"/>
      <c r="L107" s="2"/>
      <c r="M107" s="36"/>
      <c r="N107" s="3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78"/>
      <c r="D108" s="2"/>
      <c r="E108" s="72"/>
      <c r="F108" s="2"/>
      <c r="G108" s="2"/>
      <c r="H108" s="2"/>
      <c r="I108" s="2"/>
      <c r="J108" s="2"/>
      <c r="K108" s="36"/>
      <c r="L108" s="2"/>
      <c r="M108" s="36"/>
      <c r="N108" s="3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78"/>
      <c r="D109" s="2"/>
      <c r="E109" s="72"/>
      <c r="F109" s="2"/>
      <c r="G109" s="2"/>
      <c r="H109" s="2"/>
      <c r="I109" s="2"/>
      <c r="J109" s="2"/>
      <c r="K109" s="36"/>
      <c r="L109" s="2"/>
      <c r="M109" s="36"/>
      <c r="N109" s="3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78"/>
      <c r="D110" s="2"/>
      <c r="E110" s="72"/>
      <c r="F110" s="2"/>
      <c r="G110" s="2"/>
      <c r="H110" s="2"/>
      <c r="I110" s="2"/>
      <c r="J110" s="2"/>
      <c r="K110" s="36"/>
      <c r="L110" s="2"/>
      <c r="M110" s="36"/>
      <c r="N110" s="3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78"/>
      <c r="D111" s="2"/>
      <c r="E111" s="72"/>
      <c r="F111" s="2"/>
      <c r="G111" s="2"/>
      <c r="H111" s="2"/>
      <c r="I111" s="2"/>
      <c r="J111" s="2"/>
      <c r="K111" s="36"/>
      <c r="L111" s="2"/>
      <c r="M111" s="36"/>
      <c r="N111" s="3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78"/>
      <c r="D112" s="2"/>
      <c r="E112" s="72"/>
      <c r="F112" s="2"/>
      <c r="G112" s="2"/>
      <c r="H112" s="2"/>
      <c r="I112" s="2"/>
      <c r="J112" s="2"/>
      <c r="K112" s="36"/>
      <c r="L112" s="2"/>
      <c r="M112" s="36"/>
      <c r="N112" s="3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78"/>
      <c r="D113" s="2"/>
      <c r="E113" s="72"/>
      <c r="F113" s="2"/>
      <c r="G113" s="2"/>
      <c r="H113" s="2"/>
      <c r="I113" s="2"/>
      <c r="J113" s="2"/>
      <c r="K113" s="36"/>
      <c r="L113" s="2"/>
      <c r="M113" s="36"/>
      <c r="N113" s="3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78"/>
      <c r="D114" s="2"/>
      <c r="E114" s="72"/>
      <c r="F114" s="2"/>
      <c r="G114" s="2"/>
      <c r="H114" s="2"/>
      <c r="I114" s="2"/>
      <c r="J114" s="2"/>
      <c r="K114" s="36"/>
      <c r="L114" s="2"/>
      <c r="M114" s="36"/>
      <c r="N114" s="3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78"/>
      <c r="D115" s="2"/>
      <c r="E115" s="72"/>
      <c r="F115" s="2"/>
      <c r="G115" s="2"/>
      <c r="H115" s="2"/>
      <c r="I115" s="2"/>
      <c r="J115" s="2"/>
      <c r="K115" s="36"/>
      <c r="L115" s="2"/>
      <c r="M115" s="36"/>
      <c r="N115" s="3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78"/>
      <c r="D116" s="2"/>
      <c r="E116" s="72"/>
      <c r="F116" s="2"/>
      <c r="G116" s="2"/>
      <c r="H116" s="2"/>
      <c r="I116" s="2"/>
      <c r="J116" s="2"/>
      <c r="K116" s="36"/>
      <c r="L116" s="2"/>
      <c r="M116" s="36"/>
      <c r="N116" s="3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78"/>
      <c r="D117" s="2"/>
      <c r="E117" s="72"/>
      <c r="F117" s="2"/>
      <c r="G117" s="2"/>
      <c r="H117" s="2"/>
      <c r="I117" s="2"/>
      <c r="J117" s="2"/>
      <c r="K117" s="36"/>
      <c r="L117" s="2"/>
      <c r="M117" s="36"/>
      <c r="N117" s="3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78"/>
      <c r="D118" s="2"/>
      <c r="E118" s="72"/>
      <c r="F118" s="2"/>
      <c r="G118" s="2"/>
      <c r="H118" s="2"/>
      <c r="I118" s="2"/>
      <c r="J118" s="2"/>
      <c r="K118" s="36"/>
      <c r="L118" s="2"/>
      <c r="M118" s="36"/>
      <c r="N118" s="3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78"/>
      <c r="D119" s="2"/>
      <c r="E119" s="72"/>
      <c r="F119" s="2"/>
      <c r="G119" s="2"/>
      <c r="H119" s="2"/>
      <c r="I119" s="2"/>
      <c r="J119" s="2"/>
      <c r="K119" s="36"/>
      <c r="L119" s="2"/>
      <c r="M119" s="36"/>
      <c r="N119" s="3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78"/>
      <c r="D120" s="2"/>
      <c r="E120" s="72"/>
      <c r="F120" s="2"/>
      <c r="G120" s="2"/>
      <c r="H120" s="2"/>
      <c r="I120" s="2"/>
      <c r="J120" s="2"/>
      <c r="K120" s="36"/>
      <c r="L120" s="2"/>
      <c r="M120" s="36"/>
      <c r="N120" s="3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78"/>
      <c r="D121" s="2"/>
      <c r="E121" s="72"/>
      <c r="F121" s="2"/>
      <c r="G121" s="2"/>
      <c r="H121" s="2"/>
      <c r="I121" s="2"/>
      <c r="J121" s="2"/>
      <c r="K121" s="36"/>
      <c r="L121" s="2"/>
      <c r="M121" s="36"/>
      <c r="N121" s="3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78"/>
      <c r="D122" s="2"/>
      <c r="E122" s="72"/>
      <c r="F122" s="2"/>
      <c r="G122" s="2"/>
      <c r="H122" s="2"/>
      <c r="I122" s="2"/>
      <c r="J122" s="2"/>
      <c r="K122" s="36"/>
      <c r="L122" s="2"/>
      <c r="M122" s="36"/>
      <c r="N122" s="3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78"/>
      <c r="D123" s="2"/>
      <c r="E123" s="72"/>
      <c r="F123" s="2"/>
      <c r="G123" s="2"/>
      <c r="H123" s="2"/>
      <c r="I123" s="2"/>
      <c r="J123" s="2"/>
      <c r="K123" s="36"/>
      <c r="L123" s="2"/>
      <c r="M123" s="36"/>
      <c r="N123" s="3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78"/>
      <c r="D124" s="2"/>
      <c r="E124" s="72"/>
      <c r="F124" s="2"/>
      <c r="G124" s="2"/>
      <c r="H124" s="2"/>
      <c r="I124" s="2"/>
      <c r="J124" s="2"/>
      <c r="K124" s="36"/>
      <c r="L124" s="2"/>
      <c r="M124" s="36"/>
      <c r="N124" s="3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78"/>
      <c r="D125" s="2"/>
      <c r="E125" s="72"/>
      <c r="F125" s="2"/>
      <c r="G125" s="2"/>
      <c r="H125" s="2"/>
      <c r="I125" s="2"/>
      <c r="J125" s="2"/>
      <c r="K125" s="36"/>
      <c r="L125" s="2"/>
      <c r="M125" s="36"/>
      <c r="N125" s="3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78"/>
      <c r="D126" s="2"/>
      <c r="E126" s="72"/>
      <c r="F126" s="2"/>
      <c r="G126" s="2"/>
      <c r="H126" s="2"/>
      <c r="I126" s="2"/>
      <c r="J126" s="2"/>
      <c r="K126" s="36"/>
      <c r="L126" s="2"/>
      <c r="M126" s="36"/>
      <c r="N126" s="3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78"/>
      <c r="D127" s="2"/>
      <c r="E127" s="72"/>
      <c r="F127" s="2"/>
      <c r="G127" s="2"/>
      <c r="H127" s="2"/>
      <c r="I127" s="2"/>
      <c r="J127" s="2"/>
      <c r="K127" s="36"/>
      <c r="L127" s="2"/>
      <c r="M127" s="36"/>
      <c r="N127" s="3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78"/>
      <c r="D128" s="2"/>
      <c r="E128" s="72"/>
      <c r="F128" s="2"/>
      <c r="G128" s="2"/>
      <c r="H128" s="2"/>
      <c r="I128" s="2"/>
      <c r="J128" s="2"/>
      <c r="K128" s="36"/>
      <c r="L128" s="2"/>
      <c r="M128" s="36"/>
      <c r="N128" s="3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78"/>
      <c r="D129" s="2"/>
      <c r="E129" s="72"/>
      <c r="F129" s="2"/>
      <c r="G129" s="2"/>
      <c r="H129" s="2"/>
      <c r="I129" s="2"/>
      <c r="J129" s="2"/>
      <c r="K129" s="36"/>
      <c r="L129" s="2"/>
      <c r="M129" s="36"/>
      <c r="N129" s="3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78"/>
      <c r="D130" s="2"/>
      <c r="E130" s="72"/>
      <c r="F130" s="2"/>
      <c r="G130" s="2"/>
      <c r="H130" s="2"/>
      <c r="I130" s="2"/>
      <c r="J130" s="2"/>
      <c r="K130" s="36"/>
      <c r="L130" s="2"/>
      <c r="M130" s="36"/>
      <c r="N130" s="3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78"/>
      <c r="D131" s="2"/>
      <c r="E131" s="72"/>
      <c r="F131" s="2"/>
      <c r="G131" s="2"/>
      <c r="H131" s="2"/>
      <c r="I131" s="2"/>
      <c r="J131" s="2"/>
      <c r="K131" s="36"/>
      <c r="L131" s="2"/>
      <c r="M131" s="36"/>
      <c r="N131" s="3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78"/>
      <c r="D132" s="2"/>
      <c r="E132" s="72"/>
      <c r="F132" s="2"/>
      <c r="G132" s="2"/>
      <c r="H132" s="2"/>
      <c r="I132" s="2"/>
      <c r="J132" s="2"/>
      <c r="K132" s="36"/>
      <c r="L132" s="2"/>
      <c r="M132" s="36"/>
      <c r="N132" s="3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78"/>
      <c r="D133" s="2"/>
      <c r="E133" s="72"/>
      <c r="F133" s="2"/>
      <c r="G133" s="2"/>
      <c r="H133" s="2"/>
      <c r="I133" s="2"/>
      <c r="J133" s="2"/>
      <c r="K133" s="36"/>
      <c r="L133" s="2"/>
      <c r="M133" s="36"/>
      <c r="N133" s="3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78"/>
      <c r="D134" s="2"/>
      <c r="E134" s="72"/>
      <c r="F134" s="2"/>
      <c r="G134" s="2"/>
      <c r="H134" s="2"/>
      <c r="I134" s="2"/>
      <c r="J134" s="2"/>
      <c r="K134" s="36"/>
      <c r="L134" s="2"/>
      <c r="M134" s="36"/>
      <c r="N134" s="3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78"/>
      <c r="D135" s="2"/>
      <c r="E135" s="72"/>
      <c r="F135" s="2"/>
      <c r="G135" s="2"/>
      <c r="H135" s="2"/>
      <c r="I135" s="2"/>
      <c r="J135" s="2"/>
      <c r="K135" s="36"/>
      <c r="L135" s="2"/>
      <c r="M135" s="36"/>
      <c r="N135" s="3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78"/>
      <c r="D136" s="2"/>
      <c r="E136" s="72"/>
      <c r="F136" s="2"/>
      <c r="G136" s="2"/>
      <c r="H136" s="2"/>
      <c r="I136" s="2"/>
      <c r="J136" s="2"/>
      <c r="K136" s="36"/>
      <c r="L136" s="2"/>
      <c r="M136" s="36"/>
      <c r="N136" s="3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78"/>
      <c r="D137" s="2"/>
      <c r="E137" s="72"/>
      <c r="F137" s="2"/>
      <c r="G137" s="2"/>
      <c r="H137" s="2"/>
      <c r="I137" s="2"/>
      <c r="J137" s="2"/>
      <c r="K137" s="36"/>
      <c r="L137" s="2"/>
      <c r="M137" s="36"/>
      <c r="N137" s="3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78"/>
      <c r="D138" s="2"/>
      <c r="E138" s="72"/>
      <c r="F138" s="2"/>
      <c r="G138" s="2"/>
      <c r="H138" s="2"/>
      <c r="I138" s="2"/>
      <c r="J138" s="2"/>
      <c r="K138" s="36"/>
      <c r="L138" s="2"/>
      <c r="M138" s="36"/>
      <c r="N138" s="3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78"/>
      <c r="D139" s="2"/>
      <c r="E139" s="72"/>
      <c r="F139" s="2"/>
      <c r="G139" s="2"/>
      <c r="H139" s="2"/>
      <c r="I139" s="2"/>
      <c r="J139" s="2"/>
      <c r="K139" s="36"/>
      <c r="L139" s="2"/>
      <c r="M139" s="36"/>
      <c r="N139" s="3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78"/>
      <c r="D140" s="2"/>
      <c r="E140" s="72"/>
      <c r="F140" s="2"/>
      <c r="G140" s="2"/>
      <c r="H140" s="2"/>
      <c r="I140" s="2"/>
      <c r="J140" s="2"/>
      <c r="K140" s="36"/>
      <c r="L140" s="2"/>
      <c r="M140" s="36"/>
      <c r="N140" s="3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78"/>
      <c r="D141" s="2"/>
      <c r="E141" s="72"/>
      <c r="F141" s="2"/>
      <c r="G141" s="2"/>
      <c r="H141" s="2"/>
      <c r="I141" s="2"/>
      <c r="J141" s="2"/>
      <c r="K141" s="36"/>
      <c r="L141" s="2"/>
      <c r="M141" s="36"/>
      <c r="N141" s="3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78"/>
      <c r="D142" s="2"/>
      <c r="E142" s="72"/>
      <c r="F142" s="2"/>
      <c r="G142" s="2"/>
      <c r="H142" s="2"/>
      <c r="I142" s="2"/>
      <c r="J142" s="2"/>
      <c r="K142" s="36"/>
      <c r="L142" s="2"/>
      <c r="M142" s="36"/>
      <c r="N142" s="3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78"/>
      <c r="D143" s="2"/>
      <c r="E143" s="72"/>
      <c r="F143" s="2"/>
      <c r="G143" s="2"/>
      <c r="H143" s="2"/>
      <c r="I143" s="2"/>
      <c r="J143" s="2"/>
      <c r="K143" s="36"/>
      <c r="L143" s="2"/>
      <c r="M143" s="36"/>
      <c r="N143" s="3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78"/>
      <c r="D144" s="2"/>
      <c r="E144" s="72"/>
      <c r="F144" s="2"/>
      <c r="G144" s="2"/>
      <c r="H144" s="2"/>
      <c r="I144" s="2"/>
      <c r="J144" s="2"/>
      <c r="K144" s="36"/>
      <c r="L144" s="2"/>
      <c r="M144" s="36"/>
      <c r="N144" s="3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78"/>
      <c r="D145" s="2"/>
      <c r="E145" s="72"/>
      <c r="F145" s="2"/>
      <c r="G145" s="2"/>
      <c r="H145" s="2"/>
      <c r="I145" s="2"/>
      <c r="J145" s="2"/>
      <c r="K145" s="36"/>
      <c r="L145" s="2"/>
      <c r="M145" s="36"/>
      <c r="N145" s="3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78"/>
      <c r="D146" s="2"/>
      <c r="E146" s="72"/>
      <c r="F146" s="2"/>
      <c r="G146" s="2"/>
      <c r="H146" s="2"/>
      <c r="I146" s="2"/>
      <c r="J146" s="2"/>
      <c r="K146" s="36"/>
      <c r="L146" s="2"/>
      <c r="M146" s="36"/>
      <c r="N146" s="3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78"/>
      <c r="D147" s="2"/>
      <c r="E147" s="72"/>
      <c r="F147" s="2"/>
      <c r="G147" s="2"/>
      <c r="H147" s="2"/>
      <c r="I147" s="2"/>
      <c r="J147" s="2"/>
      <c r="K147" s="36"/>
      <c r="L147" s="2"/>
      <c r="M147" s="36"/>
      <c r="N147" s="3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78"/>
      <c r="D148" s="2"/>
      <c r="E148" s="72"/>
      <c r="F148" s="2"/>
      <c r="G148" s="2"/>
      <c r="H148" s="2"/>
      <c r="I148" s="2"/>
      <c r="J148" s="2"/>
      <c r="K148" s="36"/>
      <c r="L148" s="2"/>
      <c r="M148" s="36"/>
      <c r="N148" s="3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78"/>
      <c r="D149" s="2"/>
      <c r="E149" s="72"/>
      <c r="F149" s="2"/>
      <c r="G149" s="2"/>
      <c r="H149" s="2"/>
      <c r="I149" s="2"/>
      <c r="J149" s="2"/>
      <c r="K149" s="36"/>
      <c r="L149" s="2"/>
      <c r="M149" s="36"/>
      <c r="N149" s="3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78"/>
      <c r="D150" s="2"/>
      <c r="E150" s="72"/>
      <c r="F150" s="2"/>
      <c r="G150" s="2"/>
      <c r="H150" s="2"/>
      <c r="I150" s="2"/>
      <c r="J150" s="2"/>
      <c r="K150" s="36"/>
      <c r="L150" s="2"/>
      <c r="M150" s="36"/>
      <c r="N150" s="3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78"/>
      <c r="D151" s="2"/>
      <c r="E151" s="72"/>
      <c r="F151" s="2"/>
      <c r="G151" s="2"/>
      <c r="H151" s="2"/>
      <c r="I151" s="2"/>
      <c r="J151" s="2"/>
      <c r="K151" s="36"/>
      <c r="L151" s="2"/>
      <c r="M151" s="36"/>
      <c r="N151" s="3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78"/>
      <c r="D152" s="2"/>
      <c r="E152" s="72"/>
      <c r="F152" s="2"/>
      <c r="G152" s="2"/>
      <c r="H152" s="2"/>
      <c r="I152" s="2"/>
      <c r="J152" s="2"/>
      <c r="K152" s="36"/>
      <c r="L152" s="2"/>
      <c r="M152" s="36"/>
      <c r="N152" s="3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78"/>
      <c r="D153" s="2"/>
      <c r="E153" s="72"/>
      <c r="F153" s="2"/>
      <c r="G153" s="2"/>
      <c r="H153" s="2"/>
      <c r="I153" s="2"/>
      <c r="J153" s="2"/>
      <c r="K153" s="36"/>
      <c r="L153" s="2"/>
      <c r="M153" s="36"/>
      <c r="N153" s="3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78"/>
      <c r="D154" s="2"/>
      <c r="E154" s="72"/>
      <c r="F154" s="2"/>
      <c r="G154" s="2"/>
      <c r="H154" s="2"/>
      <c r="I154" s="2"/>
      <c r="J154" s="2"/>
      <c r="K154" s="36"/>
      <c r="L154" s="2"/>
      <c r="M154" s="36"/>
      <c r="N154" s="3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78"/>
      <c r="D155" s="2"/>
      <c r="E155" s="72"/>
      <c r="F155" s="2"/>
      <c r="G155" s="2"/>
      <c r="H155" s="2"/>
      <c r="I155" s="2"/>
      <c r="J155" s="2"/>
      <c r="K155" s="36"/>
      <c r="L155" s="2"/>
      <c r="M155" s="36"/>
      <c r="N155" s="3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78"/>
      <c r="D156" s="2"/>
      <c r="E156" s="72"/>
      <c r="F156" s="2"/>
      <c r="G156" s="2"/>
      <c r="H156" s="2"/>
      <c r="I156" s="2"/>
      <c r="J156" s="2"/>
      <c r="K156" s="36"/>
      <c r="L156" s="2"/>
      <c r="M156" s="36"/>
      <c r="N156" s="3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78"/>
      <c r="D157" s="2"/>
      <c r="E157" s="72"/>
      <c r="F157" s="2"/>
      <c r="G157" s="2"/>
      <c r="H157" s="2"/>
      <c r="I157" s="2"/>
      <c r="J157" s="2"/>
      <c r="K157" s="36"/>
      <c r="L157" s="2"/>
      <c r="M157" s="36"/>
      <c r="N157" s="3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78"/>
      <c r="D158" s="2"/>
      <c r="E158" s="72"/>
      <c r="F158" s="2"/>
      <c r="G158" s="2"/>
      <c r="H158" s="2"/>
      <c r="I158" s="2"/>
      <c r="J158" s="2"/>
      <c r="K158" s="36"/>
      <c r="L158" s="2"/>
      <c r="M158" s="36"/>
      <c r="N158" s="3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78"/>
      <c r="D159" s="2"/>
      <c r="E159" s="72"/>
      <c r="F159" s="2"/>
      <c r="G159" s="2"/>
      <c r="H159" s="2"/>
      <c r="I159" s="2"/>
      <c r="J159" s="2"/>
      <c r="K159" s="36"/>
      <c r="L159" s="2"/>
      <c r="M159" s="36"/>
      <c r="N159" s="3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78"/>
      <c r="D160" s="2"/>
      <c r="E160" s="72"/>
      <c r="F160" s="2"/>
      <c r="G160" s="2"/>
      <c r="H160" s="2"/>
      <c r="I160" s="2"/>
      <c r="J160" s="2"/>
      <c r="K160" s="36"/>
      <c r="L160" s="2"/>
      <c r="M160" s="36"/>
      <c r="N160" s="3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78"/>
      <c r="D161" s="2"/>
      <c r="E161" s="72"/>
      <c r="F161" s="2"/>
      <c r="G161" s="2"/>
      <c r="H161" s="2"/>
      <c r="I161" s="2"/>
      <c r="J161" s="2"/>
      <c r="K161" s="36"/>
      <c r="L161" s="2"/>
      <c r="M161" s="36"/>
      <c r="N161" s="3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78"/>
      <c r="D162" s="2"/>
      <c r="E162" s="72"/>
      <c r="F162" s="2"/>
      <c r="G162" s="2"/>
      <c r="H162" s="2"/>
      <c r="I162" s="2"/>
      <c r="J162" s="2"/>
      <c r="K162" s="36"/>
      <c r="L162" s="2"/>
      <c r="M162" s="36"/>
      <c r="N162" s="3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78"/>
      <c r="D163" s="2"/>
      <c r="E163" s="72"/>
      <c r="F163" s="2"/>
      <c r="G163" s="2"/>
      <c r="H163" s="2"/>
      <c r="I163" s="2"/>
      <c r="J163" s="2"/>
      <c r="K163" s="36"/>
      <c r="L163" s="2"/>
      <c r="M163" s="36"/>
      <c r="N163" s="3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78"/>
      <c r="D164" s="2"/>
      <c r="E164" s="72"/>
      <c r="F164" s="2"/>
      <c r="G164" s="2"/>
      <c r="H164" s="2"/>
      <c r="I164" s="2"/>
      <c r="J164" s="2"/>
      <c r="K164" s="36"/>
      <c r="L164" s="2"/>
      <c r="M164" s="36"/>
      <c r="N164" s="3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78"/>
      <c r="D165" s="2"/>
      <c r="E165" s="72"/>
      <c r="F165" s="2"/>
      <c r="G165" s="2"/>
      <c r="H165" s="2"/>
      <c r="I165" s="2"/>
      <c r="J165" s="2"/>
      <c r="K165" s="36"/>
      <c r="L165" s="2"/>
      <c r="M165" s="36"/>
      <c r="N165" s="3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78"/>
      <c r="D166" s="2"/>
      <c r="E166" s="72"/>
      <c r="F166" s="2"/>
      <c r="G166" s="2"/>
      <c r="H166" s="2"/>
      <c r="I166" s="2"/>
      <c r="J166" s="2"/>
      <c r="K166" s="36"/>
      <c r="L166" s="2"/>
      <c r="M166" s="36"/>
      <c r="N166" s="3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78"/>
      <c r="D167" s="2"/>
      <c r="E167" s="72"/>
      <c r="F167" s="2"/>
      <c r="G167" s="2"/>
      <c r="H167" s="2"/>
      <c r="I167" s="2"/>
      <c r="J167" s="2"/>
      <c r="K167" s="36"/>
      <c r="L167" s="2"/>
      <c r="M167" s="36"/>
      <c r="N167" s="3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78"/>
      <c r="D168" s="2"/>
      <c r="E168" s="72"/>
      <c r="F168" s="2"/>
      <c r="G168" s="2"/>
      <c r="H168" s="2"/>
      <c r="I168" s="2"/>
      <c r="J168" s="2"/>
      <c r="K168" s="36"/>
      <c r="L168" s="2"/>
      <c r="M168" s="36"/>
      <c r="N168" s="3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78"/>
      <c r="D169" s="2"/>
      <c r="E169" s="72"/>
      <c r="F169" s="2"/>
      <c r="G169" s="2"/>
      <c r="H169" s="2"/>
      <c r="I169" s="2"/>
      <c r="J169" s="2"/>
      <c r="K169" s="36"/>
      <c r="L169" s="2"/>
      <c r="M169" s="36"/>
      <c r="N169" s="3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78"/>
      <c r="D170" s="2"/>
      <c r="E170" s="72"/>
      <c r="F170" s="2"/>
      <c r="G170" s="2"/>
      <c r="H170" s="2"/>
      <c r="I170" s="2"/>
      <c r="J170" s="2"/>
      <c r="K170" s="36"/>
      <c r="L170" s="2"/>
      <c r="M170" s="36"/>
      <c r="N170" s="3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78"/>
      <c r="D171" s="2"/>
      <c r="E171" s="72"/>
      <c r="F171" s="2"/>
      <c r="G171" s="2"/>
      <c r="H171" s="2"/>
      <c r="I171" s="2"/>
      <c r="J171" s="2"/>
      <c r="K171" s="36"/>
      <c r="L171" s="2"/>
      <c r="M171" s="36"/>
      <c r="N171" s="3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78"/>
      <c r="D172" s="2"/>
      <c r="E172" s="72"/>
      <c r="F172" s="2"/>
      <c r="G172" s="2"/>
      <c r="H172" s="2"/>
      <c r="I172" s="2"/>
      <c r="J172" s="2"/>
      <c r="K172" s="36"/>
      <c r="L172" s="2"/>
      <c r="M172" s="36"/>
      <c r="N172" s="3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78"/>
      <c r="D173" s="2"/>
      <c r="E173" s="72"/>
      <c r="F173" s="2"/>
      <c r="G173" s="2"/>
      <c r="H173" s="2"/>
      <c r="I173" s="2"/>
      <c r="J173" s="2"/>
      <c r="K173" s="36"/>
      <c r="L173" s="2"/>
      <c r="M173" s="36"/>
      <c r="N173" s="3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78"/>
      <c r="D174" s="2"/>
      <c r="E174" s="72"/>
      <c r="F174" s="2"/>
      <c r="G174" s="2"/>
      <c r="H174" s="2"/>
      <c r="I174" s="2"/>
      <c r="J174" s="2"/>
      <c r="K174" s="36"/>
      <c r="L174" s="2"/>
      <c r="M174" s="36"/>
      <c r="N174" s="3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78"/>
      <c r="D175" s="2"/>
      <c r="E175" s="72"/>
      <c r="F175" s="2"/>
      <c r="G175" s="2"/>
      <c r="H175" s="2"/>
      <c r="I175" s="2"/>
      <c r="J175" s="2"/>
      <c r="K175" s="36"/>
      <c r="L175" s="2"/>
      <c r="M175" s="36"/>
      <c r="N175" s="3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78"/>
      <c r="D176" s="2"/>
      <c r="E176" s="72"/>
      <c r="F176" s="2"/>
      <c r="G176" s="2"/>
      <c r="H176" s="2"/>
      <c r="I176" s="2"/>
      <c r="J176" s="2"/>
      <c r="K176" s="36"/>
      <c r="L176" s="2"/>
      <c r="M176" s="36"/>
      <c r="N176" s="3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78"/>
      <c r="D177" s="2"/>
      <c r="E177" s="72"/>
      <c r="F177" s="2"/>
      <c r="G177" s="2"/>
      <c r="H177" s="2"/>
      <c r="I177" s="2"/>
      <c r="J177" s="2"/>
      <c r="K177" s="36"/>
      <c r="L177" s="2"/>
      <c r="M177" s="36"/>
      <c r="N177" s="3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78"/>
      <c r="D178" s="2"/>
      <c r="E178" s="72"/>
      <c r="F178" s="2"/>
      <c r="G178" s="2"/>
      <c r="H178" s="2"/>
      <c r="I178" s="2"/>
      <c r="J178" s="2"/>
      <c r="K178" s="36"/>
      <c r="L178" s="2"/>
      <c r="M178" s="36"/>
      <c r="N178" s="3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78"/>
      <c r="D179" s="2"/>
      <c r="E179" s="72"/>
      <c r="F179" s="2"/>
      <c r="G179" s="2"/>
      <c r="H179" s="2"/>
      <c r="I179" s="2"/>
      <c r="J179" s="2"/>
      <c r="K179" s="36"/>
      <c r="L179" s="2"/>
      <c r="M179" s="36"/>
      <c r="N179" s="3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78"/>
      <c r="D180" s="2"/>
      <c r="E180" s="72"/>
      <c r="F180" s="2"/>
      <c r="G180" s="2"/>
      <c r="H180" s="2"/>
      <c r="I180" s="2"/>
      <c r="J180" s="2"/>
      <c r="K180" s="36"/>
      <c r="L180" s="2"/>
      <c r="M180" s="36"/>
      <c r="N180" s="3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78"/>
      <c r="D181" s="2"/>
      <c r="E181" s="72"/>
      <c r="F181" s="2"/>
      <c r="G181" s="2"/>
      <c r="H181" s="2"/>
      <c r="I181" s="2"/>
      <c r="J181" s="2"/>
      <c r="K181" s="36"/>
      <c r="L181" s="2"/>
      <c r="M181" s="36"/>
      <c r="N181" s="3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78"/>
      <c r="D182" s="2"/>
      <c r="E182" s="72"/>
      <c r="F182" s="2"/>
      <c r="G182" s="2"/>
      <c r="H182" s="2"/>
      <c r="I182" s="2"/>
      <c r="J182" s="2"/>
      <c r="K182" s="36"/>
      <c r="L182" s="2"/>
      <c r="M182" s="36"/>
      <c r="N182" s="3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78"/>
      <c r="D183" s="2"/>
      <c r="E183" s="72"/>
      <c r="F183" s="2"/>
      <c r="G183" s="2"/>
      <c r="H183" s="2"/>
      <c r="I183" s="2"/>
      <c r="J183" s="2"/>
      <c r="K183" s="36"/>
      <c r="L183" s="2"/>
      <c r="M183" s="36"/>
      <c r="N183" s="3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78"/>
      <c r="D184" s="2"/>
      <c r="E184" s="72"/>
      <c r="F184" s="2"/>
      <c r="G184" s="2"/>
      <c r="H184" s="2"/>
      <c r="I184" s="2"/>
      <c r="J184" s="2"/>
      <c r="K184" s="36"/>
      <c r="L184" s="2"/>
      <c r="M184" s="36"/>
      <c r="N184" s="3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78"/>
      <c r="D185" s="2"/>
      <c r="E185" s="72"/>
      <c r="F185" s="2"/>
      <c r="G185" s="2"/>
      <c r="H185" s="2"/>
      <c r="I185" s="2"/>
      <c r="J185" s="2"/>
      <c r="K185" s="36"/>
      <c r="L185" s="2"/>
      <c r="M185" s="36"/>
      <c r="N185" s="3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78"/>
      <c r="D186" s="2"/>
      <c r="E186" s="72"/>
      <c r="F186" s="2"/>
      <c r="G186" s="2"/>
      <c r="H186" s="2"/>
      <c r="I186" s="2"/>
      <c r="J186" s="2"/>
      <c r="K186" s="36"/>
      <c r="L186" s="2"/>
      <c r="M186" s="36"/>
      <c r="N186" s="3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78"/>
      <c r="D187" s="2"/>
      <c r="E187" s="72"/>
      <c r="F187" s="2"/>
      <c r="G187" s="2"/>
      <c r="H187" s="2"/>
      <c r="I187" s="2"/>
      <c r="J187" s="2"/>
      <c r="K187" s="36"/>
      <c r="L187" s="2"/>
      <c r="M187" s="36"/>
      <c r="N187" s="3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78"/>
      <c r="D188" s="2"/>
      <c r="E188" s="72"/>
      <c r="F188" s="2"/>
      <c r="G188" s="2"/>
      <c r="H188" s="2"/>
      <c r="I188" s="2"/>
      <c r="J188" s="2"/>
      <c r="K188" s="36"/>
      <c r="L188" s="2"/>
      <c r="M188" s="36"/>
      <c r="N188" s="3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78"/>
      <c r="D189" s="2"/>
      <c r="E189" s="72"/>
      <c r="F189" s="2"/>
      <c r="G189" s="2"/>
      <c r="H189" s="2"/>
      <c r="I189" s="2"/>
      <c r="J189" s="2"/>
      <c r="K189" s="36"/>
      <c r="L189" s="2"/>
      <c r="M189" s="36"/>
      <c r="N189" s="3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78"/>
      <c r="D190" s="2"/>
      <c r="E190" s="72"/>
      <c r="F190" s="2"/>
      <c r="G190" s="2"/>
      <c r="H190" s="2"/>
      <c r="I190" s="2"/>
      <c r="J190" s="2"/>
      <c r="K190" s="36"/>
      <c r="L190" s="2"/>
      <c r="M190" s="36"/>
      <c r="N190" s="3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78"/>
      <c r="D191" s="2"/>
      <c r="E191" s="72"/>
      <c r="F191" s="2"/>
      <c r="G191" s="2"/>
      <c r="H191" s="2"/>
      <c r="I191" s="2"/>
      <c r="J191" s="2"/>
      <c r="K191" s="36"/>
      <c r="L191" s="2"/>
      <c r="M191" s="36"/>
      <c r="N191" s="3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78"/>
      <c r="D192" s="2"/>
      <c r="E192" s="72"/>
      <c r="F192" s="2"/>
      <c r="G192" s="2"/>
      <c r="H192" s="2"/>
      <c r="I192" s="2"/>
      <c r="J192" s="2"/>
      <c r="K192" s="36"/>
      <c r="L192" s="2"/>
      <c r="M192" s="36"/>
      <c r="N192" s="3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78"/>
      <c r="D193" s="2"/>
      <c r="E193" s="72"/>
      <c r="F193" s="2"/>
      <c r="G193" s="2"/>
      <c r="H193" s="2"/>
      <c r="I193" s="2"/>
      <c r="J193" s="2"/>
      <c r="K193" s="36"/>
      <c r="L193" s="2"/>
      <c r="M193" s="36"/>
      <c r="N193" s="3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78"/>
      <c r="D194" s="2"/>
      <c r="E194" s="72"/>
      <c r="F194" s="2"/>
      <c r="G194" s="2"/>
      <c r="H194" s="2"/>
      <c r="I194" s="2"/>
      <c r="J194" s="2"/>
      <c r="K194" s="36"/>
      <c r="L194" s="2"/>
      <c r="M194" s="36"/>
      <c r="N194" s="3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78"/>
      <c r="D195" s="2"/>
      <c r="E195" s="72"/>
      <c r="F195" s="2"/>
      <c r="G195" s="2"/>
      <c r="H195" s="2"/>
      <c r="I195" s="2"/>
      <c r="J195" s="2"/>
      <c r="K195" s="36"/>
      <c r="L195" s="2"/>
      <c r="M195" s="36"/>
      <c r="N195" s="3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78"/>
      <c r="D196" s="2"/>
      <c r="E196" s="72"/>
      <c r="F196" s="2"/>
      <c r="G196" s="2"/>
      <c r="H196" s="2"/>
      <c r="I196" s="2"/>
      <c r="J196" s="2"/>
      <c r="K196" s="36"/>
      <c r="L196" s="2"/>
      <c r="M196" s="36"/>
      <c r="N196" s="3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78"/>
      <c r="D197" s="2"/>
      <c r="E197" s="72"/>
      <c r="F197" s="2"/>
      <c r="G197" s="2"/>
      <c r="H197" s="2"/>
      <c r="I197" s="2"/>
      <c r="J197" s="2"/>
      <c r="K197" s="36"/>
      <c r="L197" s="2"/>
      <c r="M197" s="36"/>
      <c r="N197" s="3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78"/>
      <c r="D198" s="2"/>
      <c r="E198" s="72"/>
      <c r="F198" s="2"/>
      <c r="G198" s="2"/>
      <c r="H198" s="2"/>
      <c r="I198" s="2"/>
      <c r="J198" s="2"/>
      <c r="K198" s="36"/>
      <c r="L198" s="2"/>
      <c r="M198" s="36"/>
      <c r="N198" s="3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78"/>
      <c r="D199" s="2"/>
      <c r="E199" s="72"/>
      <c r="F199" s="2"/>
      <c r="G199" s="2"/>
      <c r="H199" s="2"/>
      <c r="I199" s="2"/>
      <c r="J199" s="2"/>
      <c r="K199" s="36"/>
      <c r="L199" s="2"/>
      <c r="M199" s="36"/>
      <c r="N199" s="3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78"/>
      <c r="D200" s="2"/>
      <c r="E200" s="72"/>
      <c r="F200" s="2"/>
      <c r="G200" s="2"/>
      <c r="H200" s="2"/>
      <c r="I200" s="2"/>
      <c r="J200" s="2"/>
      <c r="K200" s="36"/>
      <c r="L200" s="2"/>
      <c r="M200" s="36"/>
      <c r="N200" s="3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78"/>
      <c r="D201" s="2"/>
      <c r="E201" s="72"/>
      <c r="F201" s="2"/>
      <c r="G201" s="2"/>
      <c r="H201" s="2"/>
      <c r="I201" s="2"/>
      <c r="J201" s="2"/>
      <c r="K201" s="36"/>
      <c r="L201" s="2"/>
      <c r="M201" s="36"/>
      <c r="N201" s="3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78"/>
      <c r="D202" s="2"/>
      <c r="E202" s="72"/>
      <c r="F202" s="2"/>
      <c r="G202" s="2"/>
      <c r="H202" s="2"/>
      <c r="I202" s="2"/>
      <c r="J202" s="2"/>
      <c r="K202" s="36"/>
      <c r="L202" s="2"/>
      <c r="M202" s="36"/>
      <c r="N202" s="3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78"/>
      <c r="D203" s="2"/>
      <c r="E203" s="72"/>
      <c r="F203" s="2"/>
      <c r="G203" s="2"/>
      <c r="H203" s="2"/>
      <c r="I203" s="2"/>
      <c r="J203" s="2"/>
      <c r="K203" s="36"/>
      <c r="L203" s="2"/>
      <c r="M203" s="36"/>
      <c r="N203" s="3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78"/>
      <c r="D204" s="2"/>
      <c r="E204" s="72"/>
      <c r="F204" s="2"/>
      <c r="G204" s="2"/>
      <c r="H204" s="2"/>
      <c r="I204" s="2"/>
      <c r="J204" s="2"/>
      <c r="K204" s="36"/>
      <c r="L204" s="2"/>
      <c r="M204" s="36"/>
      <c r="N204" s="3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78"/>
      <c r="D205" s="2"/>
      <c r="E205" s="72"/>
      <c r="F205" s="2"/>
      <c r="G205" s="2"/>
      <c r="H205" s="2"/>
      <c r="I205" s="2"/>
      <c r="J205" s="2"/>
      <c r="K205" s="36"/>
      <c r="L205" s="2"/>
      <c r="M205" s="36"/>
      <c r="N205" s="3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78"/>
      <c r="D206" s="2"/>
      <c r="E206" s="72"/>
      <c r="F206" s="2"/>
      <c r="G206" s="2"/>
      <c r="H206" s="2"/>
      <c r="I206" s="2"/>
      <c r="J206" s="2"/>
      <c r="K206" s="36"/>
      <c r="L206" s="2"/>
      <c r="M206" s="36"/>
      <c r="N206" s="3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78"/>
      <c r="D207" s="2"/>
      <c r="E207" s="72"/>
      <c r="F207" s="2"/>
      <c r="G207" s="2"/>
      <c r="H207" s="2"/>
      <c r="I207" s="2"/>
      <c r="J207" s="2"/>
      <c r="K207" s="36"/>
      <c r="L207" s="2"/>
      <c r="M207" s="36"/>
      <c r="N207" s="3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78"/>
      <c r="D208" s="2"/>
      <c r="E208" s="72"/>
      <c r="F208" s="2"/>
      <c r="G208" s="2"/>
      <c r="H208" s="2"/>
      <c r="I208" s="2"/>
      <c r="J208" s="2"/>
      <c r="K208" s="36"/>
      <c r="L208" s="2"/>
      <c r="M208" s="36"/>
      <c r="N208" s="3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78"/>
      <c r="D209" s="2"/>
      <c r="E209" s="72"/>
      <c r="F209" s="2"/>
      <c r="G209" s="2"/>
      <c r="H209" s="2"/>
      <c r="I209" s="2"/>
      <c r="J209" s="2"/>
      <c r="K209" s="36"/>
      <c r="L209" s="2"/>
      <c r="M209" s="36"/>
      <c r="N209" s="3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78"/>
      <c r="D210" s="2"/>
      <c r="E210" s="72"/>
      <c r="F210" s="2"/>
      <c r="G210" s="2"/>
      <c r="H210" s="2"/>
      <c r="I210" s="2"/>
      <c r="J210" s="2"/>
      <c r="K210" s="36"/>
      <c r="L210" s="2"/>
      <c r="M210" s="36"/>
      <c r="N210" s="3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78"/>
      <c r="D211" s="2"/>
      <c r="E211" s="72"/>
      <c r="F211" s="2"/>
      <c r="G211" s="2"/>
      <c r="H211" s="2"/>
      <c r="I211" s="2"/>
      <c r="J211" s="2"/>
      <c r="K211" s="36"/>
      <c r="L211" s="2"/>
      <c r="M211" s="36"/>
      <c r="N211" s="3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78"/>
      <c r="D212" s="2"/>
      <c r="E212" s="72"/>
      <c r="F212" s="2"/>
      <c r="G212" s="2"/>
      <c r="H212" s="2"/>
      <c r="I212" s="2"/>
      <c r="J212" s="2"/>
      <c r="K212" s="36"/>
      <c r="L212" s="2"/>
      <c r="M212" s="36"/>
      <c r="N212" s="3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78"/>
      <c r="D213" s="2"/>
      <c r="E213" s="72"/>
      <c r="F213" s="2"/>
      <c r="G213" s="2"/>
      <c r="H213" s="2"/>
      <c r="I213" s="2"/>
      <c r="J213" s="2"/>
      <c r="K213" s="36"/>
      <c r="L213" s="2"/>
      <c r="M213" s="36"/>
      <c r="N213" s="3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78"/>
      <c r="D214" s="2"/>
      <c r="E214" s="72"/>
      <c r="F214" s="2"/>
      <c r="G214" s="2"/>
      <c r="H214" s="2"/>
      <c r="I214" s="2"/>
      <c r="J214" s="2"/>
      <c r="K214" s="36"/>
      <c r="L214" s="2"/>
      <c r="M214" s="36"/>
      <c r="N214" s="3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78"/>
      <c r="D215" s="2"/>
      <c r="E215" s="72"/>
      <c r="F215" s="2"/>
      <c r="G215" s="2"/>
      <c r="H215" s="2"/>
      <c r="I215" s="2"/>
      <c r="J215" s="2"/>
      <c r="K215" s="36"/>
      <c r="L215" s="2"/>
      <c r="M215" s="36"/>
      <c r="N215" s="3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78"/>
      <c r="D216" s="2"/>
      <c r="E216" s="72"/>
      <c r="F216" s="2"/>
      <c r="G216" s="2"/>
      <c r="H216" s="2"/>
      <c r="I216" s="2"/>
      <c r="J216" s="2"/>
      <c r="K216" s="36"/>
      <c r="L216" s="2"/>
      <c r="M216" s="36"/>
      <c r="N216" s="3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78"/>
      <c r="D217" s="2"/>
      <c r="E217" s="72"/>
      <c r="F217" s="2"/>
      <c r="G217" s="2"/>
      <c r="H217" s="2"/>
      <c r="I217" s="2"/>
      <c r="J217" s="2"/>
      <c r="K217" s="36"/>
      <c r="L217" s="2"/>
      <c r="M217" s="36"/>
      <c r="N217" s="3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78"/>
      <c r="D218" s="2"/>
      <c r="E218" s="72"/>
      <c r="F218" s="2"/>
      <c r="G218" s="2"/>
      <c r="H218" s="2"/>
      <c r="I218" s="2"/>
      <c r="J218" s="2"/>
      <c r="K218" s="36"/>
      <c r="L218" s="2"/>
      <c r="M218" s="36"/>
      <c r="N218" s="3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78"/>
      <c r="D219" s="2"/>
      <c r="E219" s="72"/>
      <c r="F219" s="2"/>
      <c r="G219" s="2"/>
      <c r="H219" s="2"/>
      <c r="I219" s="2"/>
      <c r="J219" s="2"/>
      <c r="K219" s="36"/>
      <c r="L219" s="2"/>
      <c r="M219" s="36"/>
      <c r="N219" s="3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78"/>
      <c r="D220" s="2"/>
      <c r="E220" s="72"/>
      <c r="F220" s="2"/>
      <c r="G220" s="2"/>
      <c r="H220" s="2"/>
      <c r="I220" s="2"/>
      <c r="J220" s="2"/>
      <c r="K220" s="36"/>
      <c r="L220" s="2"/>
      <c r="M220" s="36"/>
      <c r="N220" s="3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78"/>
      <c r="D221" s="2"/>
      <c r="E221" s="72"/>
      <c r="F221" s="2"/>
      <c r="G221" s="2"/>
      <c r="H221" s="2"/>
      <c r="I221" s="2"/>
      <c r="J221" s="2"/>
      <c r="K221" s="36"/>
      <c r="L221" s="2"/>
      <c r="M221" s="36"/>
      <c r="N221" s="3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78"/>
      <c r="D222" s="2"/>
      <c r="E222" s="72"/>
      <c r="F222" s="2"/>
      <c r="G222" s="2"/>
      <c r="H222" s="2"/>
      <c r="I222" s="2"/>
      <c r="J222" s="2"/>
      <c r="K222" s="36"/>
      <c r="L222" s="2"/>
      <c r="M222" s="36"/>
      <c r="N222" s="3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78"/>
      <c r="D223" s="2"/>
      <c r="E223" s="72"/>
      <c r="F223" s="2"/>
      <c r="G223" s="2"/>
      <c r="H223" s="2"/>
      <c r="I223" s="2"/>
      <c r="J223" s="2"/>
      <c r="K223" s="36"/>
      <c r="L223" s="2"/>
      <c r="M223" s="36"/>
      <c r="N223" s="3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78"/>
      <c r="D224" s="2"/>
      <c r="E224" s="72"/>
      <c r="F224" s="2"/>
      <c r="G224" s="2"/>
      <c r="H224" s="2"/>
      <c r="I224" s="2"/>
      <c r="J224" s="2"/>
      <c r="K224" s="36"/>
      <c r="L224" s="2"/>
      <c r="M224" s="36"/>
      <c r="N224" s="3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78"/>
      <c r="D225" s="2"/>
      <c r="E225" s="72"/>
      <c r="F225" s="2"/>
      <c r="G225" s="2"/>
      <c r="H225" s="2"/>
      <c r="I225" s="2"/>
      <c r="J225" s="2"/>
      <c r="K225" s="36"/>
      <c r="L225" s="2"/>
      <c r="M225" s="36"/>
      <c r="N225" s="3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78"/>
      <c r="D226" s="2"/>
      <c r="E226" s="72"/>
      <c r="F226" s="2"/>
      <c r="G226" s="2"/>
      <c r="H226" s="2"/>
      <c r="I226" s="2"/>
      <c r="J226" s="2"/>
      <c r="K226" s="36"/>
      <c r="L226" s="2"/>
      <c r="M226" s="36"/>
      <c r="N226" s="3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78"/>
      <c r="D227" s="2"/>
      <c r="E227" s="72"/>
      <c r="F227" s="2"/>
      <c r="G227" s="2"/>
      <c r="H227" s="2"/>
      <c r="I227" s="2"/>
      <c r="J227" s="2"/>
      <c r="K227" s="36"/>
      <c r="L227" s="2"/>
      <c r="M227" s="36"/>
      <c r="N227" s="3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78"/>
      <c r="D228" s="2"/>
      <c r="E228" s="72"/>
      <c r="F228" s="2"/>
      <c r="G228" s="2"/>
      <c r="H228" s="2"/>
      <c r="I228" s="2"/>
      <c r="J228" s="2"/>
      <c r="K228" s="36"/>
      <c r="L228" s="2"/>
      <c r="M228" s="36"/>
      <c r="N228" s="3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78"/>
      <c r="D229" s="2"/>
      <c r="E229" s="72"/>
      <c r="F229" s="2"/>
      <c r="G229" s="2"/>
      <c r="H229" s="2"/>
      <c r="I229" s="2"/>
      <c r="J229" s="2"/>
      <c r="K229" s="36"/>
      <c r="L229" s="2"/>
      <c r="M229" s="36"/>
      <c r="N229" s="3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78"/>
      <c r="D230" s="2"/>
      <c r="E230" s="72"/>
      <c r="F230" s="2"/>
      <c r="G230" s="2"/>
      <c r="H230" s="2"/>
      <c r="I230" s="2"/>
      <c r="J230" s="2"/>
      <c r="K230" s="36"/>
      <c r="L230" s="2"/>
      <c r="M230" s="36"/>
      <c r="N230" s="3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78"/>
      <c r="D231" s="2"/>
      <c r="E231" s="72"/>
      <c r="F231" s="2"/>
      <c r="G231" s="2"/>
      <c r="H231" s="2"/>
      <c r="I231" s="2"/>
      <c r="J231" s="2"/>
      <c r="K231" s="36"/>
      <c r="L231" s="2"/>
      <c r="M231" s="36"/>
      <c r="N231" s="3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78"/>
      <c r="D232" s="2"/>
      <c r="E232" s="72"/>
      <c r="F232" s="2"/>
      <c r="G232" s="2"/>
      <c r="H232" s="2"/>
      <c r="I232" s="2"/>
      <c r="J232" s="2"/>
      <c r="K232" s="36"/>
      <c r="L232" s="2"/>
      <c r="M232" s="36"/>
      <c r="N232" s="3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78"/>
      <c r="D233" s="2"/>
      <c r="E233" s="72"/>
      <c r="F233" s="2"/>
      <c r="G233" s="2"/>
      <c r="H233" s="2"/>
      <c r="I233" s="2"/>
      <c r="J233" s="2"/>
      <c r="K233" s="36"/>
      <c r="L233" s="2"/>
      <c r="M233" s="36"/>
      <c r="N233" s="3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78"/>
      <c r="D234" s="2"/>
      <c r="E234" s="72"/>
      <c r="F234" s="2"/>
      <c r="G234" s="2"/>
      <c r="H234" s="2"/>
      <c r="I234" s="2"/>
      <c r="J234" s="2"/>
      <c r="K234" s="36"/>
      <c r="L234" s="2"/>
      <c r="M234" s="36"/>
      <c r="N234" s="3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78"/>
      <c r="D235" s="2"/>
      <c r="E235" s="72"/>
      <c r="F235" s="2"/>
      <c r="G235" s="2"/>
      <c r="H235" s="2"/>
      <c r="I235" s="2"/>
      <c r="J235" s="2"/>
      <c r="K235" s="36"/>
      <c r="L235" s="2"/>
      <c r="M235" s="36"/>
      <c r="N235" s="3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78"/>
      <c r="D236" s="2"/>
      <c r="E236" s="72"/>
      <c r="F236" s="2"/>
      <c r="G236" s="2"/>
      <c r="H236" s="2"/>
      <c r="I236" s="2"/>
      <c r="J236" s="2"/>
      <c r="K236" s="36"/>
      <c r="L236" s="2"/>
      <c r="M236" s="36"/>
      <c r="N236" s="3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78"/>
      <c r="D237" s="2"/>
      <c r="E237" s="72"/>
      <c r="F237" s="2"/>
      <c r="G237" s="2"/>
      <c r="H237" s="2"/>
      <c r="I237" s="2"/>
      <c r="J237" s="2"/>
      <c r="K237" s="36"/>
      <c r="L237" s="2"/>
      <c r="M237" s="36"/>
      <c r="N237" s="3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78"/>
      <c r="D238" s="2"/>
      <c r="E238" s="72"/>
      <c r="F238" s="2"/>
      <c r="G238" s="2"/>
      <c r="H238" s="2"/>
      <c r="I238" s="2"/>
      <c r="J238" s="2"/>
      <c r="K238" s="36"/>
      <c r="L238" s="2"/>
      <c r="M238" s="36"/>
      <c r="N238" s="3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78"/>
      <c r="D239" s="2"/>
      <c r="E239" s="72"/>
      <c r="F239" s="2"/>
      <c r="G239" s="2"/>
      <c r="H239" s="2"/>
      <c r="I239" s="2"/>
      <c r="J239" s="2"/>
      <c r="K239" s="36"/>
      <c r="L239" s="2"/>
      <c r="M239" s="36"/>
      <c r="N239" s="3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78"/>
      <c r="D240" s="2"/>
      <c r="E240" s="72"/>
      <c r="F240" s="2"/>
      <c r="G240" s="2"/>
      <c r="H240" s="2"/>
      <c r="I240" s="2"/>
      <c r="J240" s="2"/>
      <c r="K240" s="36"/>
      <c r="L240" s="2"/>
      <c r="M240" s="36"/>
      <c r="N240" s="3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78"/>
      <c r="D241" s="2"/>
      <c r="E241" s="72"/>
      <c r="F241" s="2"/>
      <c r="G241" s="2"/>
      <c r="H241" s="2"/>
      <c r="I241" s="2"/>
      <c r="J241" s="2"/>
      <c r="K241" s="36"/>
      <c r="L241" s="2"/>
      <c r="M241" s="36"/>
      <c r="N241" s="3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78"/>
      <c r="D242" s="2"/>
      <c r="E242" s="72"/>
      <c r="F242" s="2"/>
      <c r="G242" s="2"/>
      <c r="H242" s="2"/>
      <c r="I242" s="2"/>
      <c r="J242" s="2"/>
      <c r="K242" s="36"/>
      <c r="L242" s="2"/>
      <c r="M242" s="36"/>
      <c r="N242" s="36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78"/>
      <c r="D243" s="2"/>
      <c r="E243" s="72"/>
      <c r="F243" s="2"/>
      <c r="G243" s="2"/>
      <c r="H243" s="2"/>
      <c r="I243" s="2"/>
      <c r="J243" s="2"/>
      <c r="K243" s="36"/>
      <c r="L243" s="2"/>
      <c r="M243" s="36"/>
      <c r="N243" s="36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34" sqref="G34"/>
    </sheetView>
  </sheetViews>
  <sheetFormatPr baseColWidth="10" defaultColWidth="20.5" defaultRowHeight="15" customHeight="1" x14ac:dyDescent="0.2"/>
  <cols>
    <col min="1" max="1" width="11.6640625" style="17" bestFit="1" customWidth="1"/>
    <col min="2" max="2" width="15.83203125" style="17" bestFit="1" customWidth="1"/>
    <col min="3" max="3" width="14.1640625" style="17" bestFit="1" customWidth="1"/>
    <col min="4" max="4" width="29.33203125" style="17" bestFit="1" customWidth="1"/>
    <col min="5" max="5" width="24.83203125" style="17" bestFit="1" customWidth="1"/>
    <col min="6" max="6" width="17" style="17" bestFit="1" customWidth="1"/>
    <col min="7" max="7" width="14" style="17" bestFit="1" customWidth="1"/>
    <col min="8" max="8" width="27.1640625" style="17" bestFit="1" customWidth="1"/>
    <col min="9" max="9" width="24.5" style="17" bestFit="1" customWidth="1"/>
    <col min="10" max="10" width="29.6640625" style="17" bestFit="1" customWidth="1"/>
    <col min="11" max="11" width="16.83203125" style="17" bestFit="1" customWidth="1"/>
    <col min="12" max="12" width="15" style="17" bestFit="1" customWidth="1"/>
    <col min="13" max="13" width="20" style="17" bestFit="1" customWidth="1"/>
    <col min="14" max="14" width="18.1640625" style="17" bestFit="1" customWidth="1"/>
    <col min="15" max="15" width="27.83203125" style="17" bestFit="1" customWidth="1"/>
    <col min="16" max="16" width="18" style="17" bestFit="1" customWidth="1"/>
    <col min="17" max="17" width="27.83203125" style="17" bestFit="1" customWidth="1"/>
    <col min="18" max="18" width="19.5" style="17" bestFit="1" customWidth="1"/>
    <col min="19" max="16384" width="20.5" style="17"/>
  </cols>
  <sheetData>
    <row r="1" spans="1:18" ht="14.25" customHeight="1" x14ac:dyDescent="0.2">
      <c r="A1" s="16" t="s">
        <v>61</v>
      </c>
      <c r="B1" s="16" t="s">
        <v>62</v>
      </c>
      <c r="C1" s="16" t="s">
        <v>63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68</v>
      </c>
      <c r="I1" s="16" t="s">
        <v>95</v>
      </c>
      <c r="J1" s="16" t="s">
        <v>70</v>
      </c>
      <c r="K1" s="16" t="s">
        <v>71</v>
      </c>
      <c r="L1" s="16" t="s">
        <v>72</v>
      </c>
      <c r="M1" s="16" t="s">
        <v>73</v>
      </c>
      <c r="N1" s="16" t="s">
        <v>74</v>
      </c>
      <c r="O1" s="16" t="s">
        <v>75</v>
      </c>
      <c r="P1" s="16" t="s">
        <v>76</v>
      </c>
      <c r="Q1" s="16" t="s">
        <v>77</v>
      </c>
      <c r="R1" s="16" t="s">
        <v>78</v>
      </c>
    </row>
    <row r="2" spans="1:18" ht="14.25" customHeight="1" x14ac:dyDescent="0.2">
      <c r="A2" s="15">
        <v>1</v>
      </c>
      <c r="B2" s="17">
        <v>0.99329708093698432</v>
      </c>
      <c r="C2" s="14">
        <v>-3.9246733135815264</v>
      </c>
      <c r="D2" s="17">
        <v>0.98546510907239626</v>
      </c>
      <c r="E2" s="14">
        <v>5.0575365177453335</v>
      </c>
      <c r="F2" s="17">
        <v>1.2666833699308226</v>
      </c>
      <c r="G2" s="14">
        <v>-3.3426159356463363</v>
      </c>
      <c r="H2" s="17">
        <v>5.2781848067290396</v>
      </c>
      <c r="I2" s="14">
        <v>6.6121816439591585</v>
      </c>
      <c r="J2" s="17">
        <v>4.8635520871538009</v>
      </c>
      <c r="K2" s="17">
        <v>3.7087664275762808</v>
      </c>
      <c r="L2" s="14">
        <v>7.1522222181609516</v>
      </c>
      <c r="M2" s="17">
        <v>6.6175801542376469</v>
      </c>
      <c r="N2" s="14">
        <v>-1.182415580443626</v>
      </c>
      <c r="O2" s="14">
        <v>-0.87098636353947345</v>
      </c>
      <c r="P2" s="14">
        <v>-0.55112083503705367</v>
      </c>
      <c r="Q2" s="14">
        <v>-0.95238361524292658</v>
      </c>
      <c r="R2" s="14">
        <v>-0.80982206507374621</v>
      </c>
    </row>
    <row r="3" spans="1:18" ht="14.25" customHeight="1" x14ac:dyDescent="0.2"/>
    <row r="4" spans="1:18" ht="14.25" customHeight="1" x14ac:dyDescent="0.2"/>
    <row r="5" spans="1:18" ht="14.25" customHeight="1" x14ac:dyDescent="0.2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8" ht="14.25" customHeight="1" x14ac:dyDescent="0.2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2.332031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7.83203125" style="11"/>
  </cols>
  <sheetData>
    <row r="1" spans="1:27" ht="14.25" customHeight="1" x14ac:dyDescent="0.15">
      <c r="A1" s="3" t="s">
        <v>79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2">
      <c r="A2" s="5" t="s">
        <v>33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3"/>
      <c r="T2" s="13"/>
      <c r="U2" s="13"/>
      <c r="V2" s="13"/>
      <c r="W2" s="13"/>
    </row>
    <row r="3" spans="1:27" ht="14.25" customHeight="1" x14ac:dyDescent="0.2">
      <c r="A3" s="5">
        <v>10</v>
      </c>
      <c r="B3" s="11">
        <v>-0.71395096039468986</v>
      </c>
      <c r="C3" s="14">
        <v>-0.58465156321212686</v>
      </c>
      <c r="D3" s="11">
        <v>-0.79903799698191769</v>
      </c>
      <c r="E3" s="14">
        <v>-0.80751763548316358</v>
      </c>
      <c r="F3" s="11">
        <v>-0.72895233112602964</v>
      </c>
      <c r="G3" s="14">
        <v>-0.85900507557847294</v>
      </c>
      <c r="H3" s="11">
        <v>-1.4331268391280088</v>
      </c>
      <c r="I3" s="11">
        <v>-1.5228833414885738</v>
      </c>
      <c r="J3" s="14">
        <v>-0.23209143327051995</v>
      </c>
      <c r="K3" s="11">
        <v>0</v>
      </c>
      <c r="L3" s="14">
        <v>-1.3431010228494791</v>
      </c>
      <c r="M3" s="11">
        <v>-1.0013656322005742</v>
      </c>
      <c r="N3" s="14">
        <v>-0.14583354692712014</v>
      </c>
      <c r="O3" s="14">
        <v>-0.37946337498358168</v>
      </c>
      <c r="P3" s="14">
        <v>-0.46259206745340115</v>
      </c>
      <c r="Q3" s="14">
        <v>-0.35647540558475682</v>
      </c>
      <c r="R3" s="14">
        <v>-0.52898967668560137</v>
      </c>
      <c r="S3" s="13"/>
      <c r="T3" s="13"/>
      <c r="U3" s="13"/>
      <c r="V3" s="13"/>
      <c r="W3" s="13"/>
    </row>
    <row r="4" spans="1:27" ht="14.25" customHeight="1" x14ac:dyDescent="0.15"/>
    <row r="5" spans="1:27" ht="14.25" customHeight="1" x14ac:dyDescent="0.15"/>
    <row r="6" spans="1:27" ht="14.25" customHeight="1" x14ac:dyDescent="0.15"/>
    <row r="7" spans="1:27" ht="14.25" customHeight="1" x14ac:dyDescent="0.15"/>
    <row r="8" spans="1:27" ht="14.25" customHeight="1" x14ac:dyDescent="0.15"/>
    <row r="9" spans="1:27" ht="14.25" customHeight="1" x14ac:dyDescent="0.15"/>
    <row r="10" spans="1:27" ht="14.25" customHeight="1" x14ac:dyDescent="0.15"/>
    <row r="11" spans="1:27" ht="14.25" customHeight="1" x14ac:dyDescent="0.15"/>
    <row r="12" spans="1:27" ht="14.25" customHeight="1" x14ac:dyDescent="0.15"/>
    <row r="13" spans="1:27" ht="14.25" customHeight="1" x14ac:dyDescent="0.15"/>
    <row r="14" spans="1:27" ht="14.25" customHeight="1" x14ac:dyDescent="0.15"/>
    <row r="15" spans="1:27" ht="14.25" customHeight="1" x14ac:dyDescent="0.15"/>
    <row r="16" spans="1:27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40" sqref="G40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15.5" bestFit="1" customWidth="1"/>
    <col min="7" max="7" width="13.6640625" bestFit="1" customWidth="1"/>
    <col min="8" max="8" width="24.5" bestFit="1" customWidth="1"/>
    <col min="9" max="9" width="22.33203125" bestFit="1" customWidth="1"/>
    <col min="10" max="10" width="27.33203125" bestFit="1" customWidth="1"/>
    <col min="11" max="11" width="15" bestFit="1" customWidth="1"/>
    <col min="12" max="12" width="13.6640625" bestFit="1" customWidth="1"/>
    <col min="13" max="13" width="18.33203125" bestFit="1" customWidth="1"/>
    <col min="14" max="14" width="16.5" bestFit="1" customWidth="1"/>
    <col min="15" max="15" width="25" bestFit="1" customWidth="1"/>
    <col min="16" max="16" width="16.33203125" bestFit="1" customWidth="1"/>
    <col min="17" max="17" width="25" bestFit="1" customWidth="1"/>
    <col min="18" max="18" width="17.33203125" bestFit="1" customWidth="1"/>
  </cols>
  <sheetData>
    <row r="1" spans="1:28" ht="14.25" customHeight="1" x14ac:dyDescent="0.15">
      <c r="A1" s="3" t="s">
        <v>80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95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28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>
        <v>0</v>
      </c>
      <c r="G3" s="7">
        <v>0</v>
      </c>
      <c r="H3" s="7">
        <v>0</v>
      </c>
      <c r="I3" s="8">
        <v>0.11701107222490574</v>
      </c>
      <c r="J3" s="8">
        <v>6.5907714259789113E-2</v>
      </c>
      <c r="K3" s="7">
        <v>0</v>
      </c>
      <c r="L3" s="8">
        <v>0.19613134015564604</v>
      </c>
      <c r="M3" s="7">
        <v>8.7309139464465599E-2</v>
      </c>
      <c r="N3" s="7">
        <v>0</v>
      </c>
      <c r="O3" s="7">
        <v>0</v>
      </c>
      <c r="P3" s="8">
        <v>4.9139724390946909E-2</v>
      </c>
      <c r="Q3" s="8">
        <v>4.6124566829638787E-2</v>
      </c>
      <c r="R3" s="8">
        <v>6.1180987741787922E-2</v>
      </c>
    </row>
    <row r="4" spans="1:28" ht="14.25" customHeight="1" x14ac:dyDescent="0.2">
      <c r="A4" s="3" t="s">
        <v>92</v>
      </c>
      <c r="B4" s="7">
        <v>0</v>
      </c>
      <c r="C4" s="8">
        <v>0.64613778770921471</v>
      </c>
      <c r="D4" s="7">
        <v>0</v>
      </c>
      <c r="E4" s="8">
        <v>0.60452873294911302</v>
      </c>
      <c r="F4" s="7">
        <v>0</v>
      </c>
      <c r="G4" s="8">
        <v>0.60041094900541103</v>
      </c>
      <c r="H4" s="7">
        <v>0</v>
      </c>
      <c r="I4" s="8">
        <v>0.5749322707934037</v>
      </c>
      <c r="J4" s="8">
        <v>0</v>
      </c>
      <c r="K4" s="7">
        <v>0</v>
      </c>
      <c r="L4" s="8">
        <v>0.65553173381932928</v>
      </c>
      <c r="M4" s="7">
        <v>0</v>
      </c>
      <c r="N4" s="8">
        <v>0.46631856250565262</v>
      </c>
      <c r="O4" s="8">
        <v>0.34743653061295754</v>
      </c>
      <c r="P4" s="8">
        <v>0.50901527106022793</v>
      </c>
      <c r="Q4" s="8">
        <v>0.3836081815382697</v>
      </c>
      <c r="R4" s="8">
        <v>0.40312994456843532</v>
      </c>
    </row>
    <row r="5" spans="1:28" ht="14.25" customHeight="1" x14ac:dyDescent="0.2">
      <c r="A5" s="3" t="s">
        <v>33</v>
      </c>
      <c r="B5" s="7">
        <v>0</v>
      </c>
      <c r="C5" s="8">
        <v>0.64613778770921471</v>
      </c>
      <c r="D5" s="7">
        <v>0</v>
      </c>
      <c r="E5" s="8">
        <v>0.60452873294911302</v>
      </c>
      <c r="F5" s="7">
        <v>0</v>
      </c>
      <c r="G5" s="8">
        <v>0.60041094900541081</v>
      </c>
      <c r="H5" s="7">
        <v>0</v>
      </c>
      <c r="I5" s="8">
        <v>0.5749322707934037</v>
      </c>
      <c r="J5" s="8">
        <v>0</v>
      </c>
      <c r="K5" s="7">
        <v>0</v>
      </c>
      <c r="L5" s="8">
        <v>0.65553173381932928</v>
      </c>
      <c r="M5" s="7">
        <v>0</v>
      </c>
      <c r="N5" s="8">
        <v>0.46631856250565262</v>
      </c>
      <c r="O5" s="8">
        <v>0.34743653061295754</v>
      </c>
      <c r="P5" s="8">
        <v>0.50901527106022793</v>
      </c>
      <c r="Q5" s="8">
        <v>0.3836081815382697</v>
      </c>
      <c r="R5" s="8">
        <v>0.40312994456843532</v>
      </c>
    </row>
    <row r="6" spans="1:28" ht="14.25" customHeight="1" x14ac:dyDescent="0.15"/>
    <row r="7" spans="1:28" ht="14.25" customHeight="1" x14ac:dyDescent="0.15"/>
    <row r="8" spans="1:28" ht="14.25" customHeight="1" x14ac:dyDescent="0.15"/>
    <row r="9" spans="1:28" ht="14.25" customHeight="1" x14ac:dyDescent="0.15"/>
    <row r="10" spans="1:28" ht="14.25" customHeight="1" x14ac:dyDescent="0.15"/>
    <row r="11" spans="1:28" ht="14.25" customHeight="1" x14ac:dyDescent="0.15"/>
    <row r="12" spans="1:28" ht="14.25" customHeight="1" x14ac:dyDescent="0.15"/>
    <row r="13" spans="1:28" ht="14.25" customHeight="1" x14ac:dyDescent="0.15"/>
    <row r="14" spans="1:28" ht="14.25" customHeight="1" x14ac:dyDescent="0.15"/>
    <row r="15" spans="1:28" ht="14.25" customHeight="1" x14ac:dyDescent="0.15"/>
    <row r="16" spans="1:2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99"/>
  <sheetViews>
    <sheetView workbookViewId="0">
      <selection activeCell="D14" sqref="D14"/>
    </sheetView>
  </sheetViews>
  <sheetFormatPr baseColWidth="10" defaultColWidth="12.6640625" defaultRowHeight="15" customHeight="1" x14ac:dyDescent="0.2"/>
  <cols>
    <col min="1" max="1" width="17" style="30" bestFit="1" customWidth="1"/>
    <col min="2" max="2" width="15.83203125" style="19" bestFit="1" customWidth="1"/>
    <col min="3" max="3" width="14.1640625" style="19" customWidth="1"/>
    <col min="4" max="4" width="29.33203125" style="19" bestFit="1" customWidth="1"/>
    <col min="5" max="5" width="24.83203125" style="19" bestFit="1" customWidth="1"/>
    <col min="6" max="6" width="17" style="19" bestFit="1" customWidth="1"/>
    <col min="7" max="7" width="14" style="19" bestFit="1" customWidth="1"/>
    <col min="8" max="8" width="27.1640625" style="19" bestFit="1" customWidth="1"/>
    <col min="9" max="9" width="23.83203125" style="19" bestFit="1" customWidth="1"/>
    <col min="10" max="10" width="29.6640625" style="19" bestFit="1" customWidth="1"/>
    <col min="11" max="11" width="16.83203125" style="19" bestFit="1" customWidth="1"/>
    <col min="12" max="12" width="15" style="19" bestFit="1" customWidth="1"/>
    <col min="13" max="13" width="20" style="19" bestFit="1" customWidth="1"/>
    <col min="14" max="14" width="18.1640625" style="19" bestFit="1" customWidth="1"/>
    <col min="15" max="15" width="27.83203125" style="19" bestFit="1" customWidth="1"/>
    <col min="16" max="16" width="18" style="19" bestFit="1" customWidth="1"/>
    <col min="17" max="17" width="27.83203125" style="19" bestFit="1" customWidth="1"/>
    <col min="18" max="18" width="19.5" style="19" bestFit="1" customWidth="1"/>
    <col min="19" max="16384" width="12.6640625" style="19"/>
  </cols>
  <sheetData>
    <row r="1" spans="1:18" ht="14.25" customHeight="1" x14ac:dyDescent="0.2">
      <c r="A1" s="1" t="s">
        <v>81</v>
      </c>
      <c r="B1" s="18" t="s">
        <v>62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67</v>
      </c>
      <c r="H1" s="18" t="s">
        <v>68</v>
      </c>
      <c r="I1" s="18" t="s">
        <v>95</v>
      </c>
      <c r="J1" s="18" t="s">
        <v>70</v>
      </c>
      <c r="K1" s="18" t="s">
        <v>71</v>
      </c>
      <c r="L1" s="18" t="s">
        <v>72</v>
      </c>
      <c r="M1" s="18" t="s">
        <v>73</v>
      </c>
      <c r="N1" s="18" t="s">
        <v>74</v>
      </c>
      <c r="O1" s="18" t="s">
        <v>75</v>
      </c>
      <c r="P1" s="18" t="s">
        <v>76</v>
      </c>
      <c r="Q1" s="18" t="s">
        <v>77</v>
      </c>
      <c r="R1" s="18" t="s">
        <v>78</v>
      </c>
    </row>
    <row r="2" spans="1:18" ht="14.25" customHeight="1" x14ac:dyDescent="0.2">
      <c r="A2" s="1">
        <v>1</v>
      </c>
      <c r="B2" s="19">
        <v>3.5448148703496031E-2</v>
      </c>
      <c r="C2" s="20">
        <v>9.9381756136440472E-2</v>
      </c>
      <c r="D2" s="19">
        <v>3.9725054293254E-2</v>
      </c>
      <c r="E2" s="20">
        <v>-7.6522667734568339E-2</v>
      </c>
      <c r="F2" s="19">
        <v>3.2149219525577019E-2</v>
      </c>
      <c r="G2" s="20">
        <v>9.686194389527536E-2</v>
      </c>
      <c r="H2" s="19">
        <v>-4.1859641648223297E-2</v>
      </c>
      <c r="I2" s="20">
        <v>-7.3950406413400366E-2</v>
      </c>
      <c r="J2" s="20">
        <v>-6.1213870078683695E-2</v>
      </c>
      <c r="K2" s="19">
        <v>-4.0916762999655576E-2</v>
      </c>
      <c r="L2" s="20">
        <v>-9.5939318643560423E-2</v>
      </c>
      <c r="M2" s="19">
        <v>-6.6388869188609048E-2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</row>
    <row r="3" spans="1:18" ht="14.25" customHeight="1" x14ac:dyDescent="0.2"/>
    <row r="4" spans="1:18" ht="14.25" customHeight="1" x14ac:dyDescent="0.2"/>
    <row r="5" spans="1:18" ht="14.25" customHeight="1" x14ac:dyDescent="0.2"/>
    <row r="6" spans="1:18" ht="14.25" customHeight="1" x14ac:dyDescent="0.2"/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L50" sqref="L50"/>
    </sheetView>
  </sheetViews>
  <sheetFormatPr baseColWidth="10" defaultColWidth="17.33203125" defaultRowHeight="15" customHeight="1" x14ac:dyDescent="0.2"/>
  <cols>
    <col min="1" max="1" width="18.1640625" style="21" bestFit="1" customWidth="1"/>
    <col min="2" max="3" width="17" style="21" bestFit="1" customWidth="1"/>
    <col min="4" max="4" width="27.6640625" style="21" bestFit="1" customWidth="1"/>
    <col min="5" max="5" width="23.5" style="21" bestFit="1" customWidth="1"/>
    <col min="6" max="7" width="17" style="21" bestFit="1" customWidth="1"/>
    <col min="8" max="8" width="25.5" style="21" bestFit="1" customWidth="1"/>
    <col min="9" max="9" width="22.6640625" style="21" bestFit="1" customWidth="1"/>
    <col min="10" max="10" width="28.33203125" style="21" bestFit="1" customWidth="1"/>
    <col min="11" max="12" width="17" style="21" bestFit="1" customWidth="1"/>
    <col min="13" max="13" width="19.33203125" style="21" bestFit="1" customWidth="1"/>
    <col min="14" max="14" width="17.5" style="21" bestFit="1" customWidth="1"/>
    <col min="15" max="15" width="26" style="21" bestFit="1" customWidth="1"/>
    <col min="16" max="16" width="17.33203125" style="21" bestFit="1" customWidth="1"/>
    <col min="17" max="17" width="26" style="21" bestFit="1" customWidth="1"/>
    <col min="18" max="18" width="18.33203125" style="21" bestFit="1" customWidth="1"/>
    <col min="19" max="16384" width="17.33203125" style="21"/>
  </cols>
  <sheetData>
    <row r="1" spans="1:18" ht="14.25" customHeight="1" x14ac:dyDescent="0.2">
      <c r="A1" s="21" t="s">
        <v>82</v>
      </c>
      <c r="B1" s="21" t="s">
        <v>62</v>
      </c>
      <c r="C1" s="21" t="s">
        <v>63</v>
      </c>
      <c r="D1" s="21" t="s">
        <v>64</v>
      </c>
      <c r="E1" s="21" t="s">
        <v>65</v>
      </c>
      <c r="F1" s="21" t="s">
        <v>66</v>
      </c>
      <c r="G1" s="21" t="s">
        <v>67</v>
      </c>
      <c r="H1" s="21" t="s">
        <v>68</v>
      </c>
      <c r="I1" s="21" t="s">
        <v>69</v>
      </c>
      <c r="J1" s="21" t="s">
        <v>70</v>
      </c>
      <c r="K1" s="21" t="s">
        <v>71</v>
      </c>
      <c r="L1" s="21" t="s">
        <v>72</v>
      </c>
      <c r="M1" s="21" t="s">
        <v>73</v>
      </c>
      <c r="N1" s="21" t="s">
        <v>74</v>
      </c>
      <c r="O1" s="21" t="s">
        <v>75</v>
      </c>
      <c r="P1" s="21" t="s">
        <v>76</v>
      </c>
      <c r="Q1" s="21" t="s">
        <v>77</v>
      </c>
      <c r="R1" s="21" t="s">
        <v>78</v>
      </c>
    </row>
    <row r="2" spans="1:18" ht="14.25" customHeight="1" x14ac:dyDescent="0.2">
      <c r="A2" s="21" t="s">
        <v>33</v>
      </c>
      <c r="B2" s="21">
        <v>0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</row>
    <row r="3" spans="1:18" ht="14.25" customHeight="1" x14ac:dyDescent="0.2">
      <c r="A3" s="21">
        <v>0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</row>
    <row r="4" spans="1:18" ht="14.25" customHeight="1" x14ac:dyDescent="0.2">
      <c r="A4" s="21">
        <v>1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2">
        <v>0.36939559709747016</v>
      </c>
      <c r="O4" s="22">
        <v>0.42340846418800804</v>
      </c>
      <c r="P4" s="22">
        <v>0.34881297281065921</v>
      </c>
      <c r="Q4" s="22">
        <v>0.42938134366818631</v>
      </c>
      <c r="R4" s="22">
        <v>0.46092254210008754</v>
      </c>
    </row>
    <row r="5" spans="1:18" ht="14.25" customHeight="1" x14ac:dyDescent="0.2">
      <c r="A5" s="21">
        <v>2</v>
      </c>
      <c r="B5" s="21">
        <f t="shared" ref="B5:M13" si="0">B$4 * $A5</f>
        <v>0</v>
      </c>
      <c r="C5" s="21">
        <f t="shared" si="0"/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21">
        <f t="shared" si="0"/>
        <v>0</v>
      </c>
      <c r="I5" s="21">
        <f t="shared" si="0"/>
        <v>0</v>
      </c>
      <c r="J5" s="21">
        <f t="shared" si="0"/>
        <v>0</v>
      </c>
      <c r="K5" s="21">
        <f t="shared" si="0"/>
        <v>0</v>
      </c>
      <c r="L5" s="21">
        <f t="shared" si="0"/>
        <v>0</v>
      </c>
      <c r="M5" s="21">
        <f t="shared" si="0"/>
        <v>0</v>
      </c>
      <c r="N5" s="21">
        <f>N$4 * $A5</f>
        <v>0.73879119419494033</v>
      </c>
      <c r="O5" s="21">
        <f t="shared" ref="O5:R5" si="1">O$4 * $A5</f>
        <v>0.84681692837601608</v>
      </c>
      <c r="P5" s="21">
        <f t="shared" si="1"/>
        <v>0.69762594562131841</v>
      </c>
      <c r="Q5" s="21">
        <f t="shared" si="1"/>
        <v>0.85876268733637262</v>
      </c>
      <c r="R5" s="21">
        <f t="shared" si="1"/>
        <v>0.92184508420017508</v>
      </c>
    </row>
    <row r="6" spans="1:18" ht="14.25" customHeight="1" x14ac:dyDescent="0.2">
      <c r="A6" s="21">
        <v>3</v>
      </c>
      <c r="B6" s="21">
        <f t="shared" si="0"/>
        <v>0</v>
      </c>
      <c r="C6" s="21">
        <f t="shared" si="0"/>
        <v>0</v>
      </c>
      <c r="D6" s="21">
        <f t="shared" si="0"/>
        <v>0</v>
      </c>
      <c r="E6" s="21">
        <f t="shared" si="0"/>
        <v>0</v>
      </c>
      <c r="F6" s="21">
        <f t="shared" si="0"/>
        <v>0</v>
      </c>
      <c r="G6" s="21">
        <f t="shared" si="0"/>
        <v>0</v>
      </c>
      <c r="H6" s="21">
        <f t="shared" si="0"/>
        <v>0</v>
      </c>
      <c r="I6" s="21">
        <f t="shared" si="0"/>
        <v>0</v>
      </c>
      <c r="J6" s="21">
        <f t="shared" si="0"/>
        <v>0</v>
      </c>
      <c r="K6" s="21">
        <f t="shared" si="0"/>
        <v>0</v>
      </c>
      <c r="L6" s="21">
        <f t="shared" si="0"/>
        <v>0</v>
      </c>
      <c r="M6" s="21">
        <f t="shared" si="0"/>
        <v>0</v>
      </c>
      <c r="N6" s="21">
        <f t="shared" ref="N6:R13" si="2">N$4 * $A6</f>
        <v>1.1081867912924106</v>
      </c>
      <c r="O6" s="21">
        <f t="shared" si="2"/>
        <v>1.2702253925640241</v>
      </c>
      <c r="P6" s="21">
        <f t="shared" si="2"/>
        <v>1.0464389184319776</v>
      </c>
      <c r="Q6" s="21">
        <f t="shared" si="2"/>
        <v>1.2881440310045589</v>
      </c>
      <c r="R6" s="21">
        <f t="shared" si="2"/>
        <v>1.3827676263002626</v>
      </c>
    </row>
    <row r="7" spans="1:18" ht="14.25" customHeight="1" x14ac:dyDescent="0.2">
      <c r="A7" s="21">
        <v>4</v>
      </c>
      <c r="B7" s="21">
        <f t="shared" si="0"/>
        <v>0</v>
      </c>
      <c r="C7" s="21">
        <f t="shared" si="0"/>
        <v>0</v>
      </c>
      <c r="D7" s="21">
        <f t="shared" si="0"/>
        <v>0</v>
      </c>
      <c r="E7" s="21">
        <f t="shared" si="0"/>
        <v>0</v>
      </c>
      <c r="F7" s="21">
        <f t="shared" si="0"/>
        <v>0</v>
      </c>
      <c r="G7" s="21">
        <f t="shared" si="0"/>
        <v>0</v>
      </c>
      <c r="H7" s="21">
        <f t="shared" si="0"/>
        <v>0</v>
      </c>
      <c r="I7" s="21">
        <f t="shared" si="0"/>
        <v>0</v>
      </c>
      <c r="J7" s="21">
        <f t="shared" si="0"/>
        <v>0</v>
      </c>
      <c r="K7" s="21">
        <f t="shared" si="0"/>
        <v>0</v>
      </c>
      <c r="L7" s="21">
        <f t="shared" si="0"/>
        <v>0</v>
      </c>
      <c r="M7" s="21">
        <f t="shared" si="0"/>
        <v>0</v>
      </c>
      <c r="N7" s="21">
        <f t="shared" si="2"/>
        <v>1.4775823883898807</v>
      </c>
      <c r="O7" s="21">
        <f t="shared" si="2"/>
        <v>1.6936338567520322</v>
      </c>
      <c r="P7" s="21">
        <f t="shared" si="2"/>
        <v>1.3952518912426368</v>
      </c>
      <c r="Q7" s="21">
        <f t="shared" si="2"/>
        <v>1.7175253746727452</v>
      </c>
      <c r="R7" s="21">
        <f t="shared" si="2"/>
        <v>1.8436901684003502</v>
      </c>
    </row>
    <row r="8" spans="1:18" ht="14.25" customHeight="1" x14ac:dyDescent="0.2">
      <c r="A8" s="21">
        <v>5</v>
      </c>
      <c r="B8" s="21">
        <f t="shared" si="0"/>
        <v>0</v>
      </c>
      <c r="C8" s="21">
        <f t="shared" si="0"/>
        <v>0</v>
      </c>
      <c r="D8" s="21">
        <f t="shared" si="0"/>
        <v>0</v>
      </c>
      <c r="E8" s="21">
        <f t="shared" si="0"/>
        <v>0</v>
      </c>
      <c r="F8" s="21">
        <f t="shared" si="0"/>
        <v>0</v>
      </c>
      <c r="G8" s="21">
        <f t="shared" si="0"/>
        <v>0</v>
      </c>
      <c r="H8" s="21">
        <f t="shared" si="0"/>
        <v>0</v>
      </c>
      <c r="I8" s="21">
        <f t="shared" si="0"/>
        <v>0</v>
      </c>
      <c r="J8" s="21">
        <f t="shared" si="0"/>
        <v>0</v>
      </c>
      <c r="K8" s="21">
        <f t="shared" si="0"/>
        <v>0</v>
      </c>
      <c r="L8" s="21">
        <f t="shared" si="0"/>
        <v>0</v>
      </c>
      <c r="M8" s="21">
        <f t="shared" si="0"/>
        <v>0</v>
      </c>
      <c r="N8" s="21">
        <f t="shared" si="2"/>
        <v>1.8469779854873507</v>
      </c>
      <c r="O8" s="21">
        <f t="shared" si="2"/>
        <v>2.1170423209400404</v>
      </c>
      <c r="P8" s="21">
        <f t="shared" si="2"/>
        <v>1.7440648640532961</v>
      </c>
      <c r="Q8" s="21">
        <f t="shared" si="2"/>
        <v>2.1469067183409316</v>
      </c>
      <c r="R8" s="21">
        <f t="shared" si="2"/>
        <v>2.3046127105004377</v>
      </c>
    </row>
    <row r="9" spans="1:18" ht="14.25" customHeight="1" x14ac:dyDescent="0.2">
      <c r="A9" s="21">
        <v>6</v>
      </c>
      <c r="B9" s="21">
        <f t="shared" si="0"/>
        <v>0</v>
      </c>
      <c r="C9" s="21">
        <f t="shared" si="0"/>
        <v>0</v>
      </c>
      <c r="D9" s="21">
        <f t="shared" si="0"/>
        <v>0</v>
      </c>
      <c r="E9" s="21">
        <f t="shared" si="0"/>
        <v>0</v>
      </c>
      <c r="F9" s="21">
        <f t="shared" si="0"/>
        <v>0</v>
      </c>
      <c r="G9" s="21">
        <f t="shared" si="0"/>
        <v>0</v>
      </c>
      <c r="H9" s="21">
        <f t="shared" si="0"/>
        <v>0</v>
      </c>
      <c r="I9" s="21">
        <f t="shared" si="0"/>
        <v>0</v>
      </c>
      <c r="J9" s="21">
        <f t="shared" si="0"/>
        <v>0</v>
      </c>
      <c r="K9" s="21">
        <f t="shared" si="0"/>
        <v>0</v>
      </c>
      <c r="L9" s="21">
        <f t="shared" si="0"/>
        <v>0</v>
      </c>
      <c r="M9" s="21">
        <f t="shared" si="0"/>
        <v>0</v>
      </c>
      <c r="N9" s="21">
        <f t="shared" si="2"/>
        <v>2.2163735825848212</v>
      </c>
      <c r="O9" s="21">
        <f t="shared" si="2"/>
        <v>2.5404507851280482</v>
      </c>
      <c r="P9" s="21">
        <f t="shared" si="2"/>
        <v>2.0928778368639551</v>
      </c>
      <c r="Q9" s="21">
        <f t="shared" si="2"/>
        <v>2.5762880620091178</v>
      </c>
      <c r="R9" s="21">
        <f t="shared" si="2"/>
        <v>2.7655352526005252</v>
      </c>
    </row>
    <row r="10" spans="1:18" ht="14.25" customHeight="1" x14ac:dyDescent="0.2">
      <c r="A10" s="21">
        <v>7</v>
      </c>
      <c r="B10" s="21">
        <f t="shared" si="0"/>
        <v>0</v>
      </c>
      <c r="C10" s="21">
        <f t="shared" si="0"/>
        <v>0</v>
      </c>
      <c r="D10" s="21">
        <f t="shared" si="0"/>
        <v>0</v>
      </c>
      <c r="E10" s="21">
        <f t="shared" si="0"/>
        <v>0</v>
      </c>
      <c r="F10" s="21">
        <f t="shared" si="0"/>
        <v>0</v>
      </c>
      <c r="G10" s="21">
        <f t="shared" si="0"/>
        <v>0</v>
      </c>
      <c r="H10" s="21">
        <f t="shared" si="0"/>
        <v>0</v>
      </c>
      <c r="I10" s="21">
        <f t="shared" si="0"/>
        <v>0</v>
      </c>
      <c r="J10" s="21">
        <f t="shared" si="0"/>
        <v>0</v>
      </c>
      <c r="K10" s="21">
        <f t="shared" si="0"/>
        <v>0</v>
      </c>
      <c r="L10" s="21">
        <f t="shared" si="0"/>
        <v>0</v>
      </c>
      <c r="M10" s="21">
        <f t="shared" si="0"/>
        <v>0</v>
      </c>
      <c r="N10" s="21">
        <f t="shared" si="2"/>
        <v>2.5857691796822913</v>
      </c>
      <c r="O10" s="21">
        <f t="shared" si="2"/>
        <v>2.963859249316056</v>
      </c>
      <c r="P10" s="21">
        <f t="shared" si="2"/>
        <v>2.4416908096746144</v>
      </c>
      <c r="Q10" s="21">
        <f t="shared" si="2"/>
        <v>3.0056694056773043</v>
      </c>
      <c r="R10" s="21">
        <f t="shared" si="2"/>
        <v>3.2264577947006128</v>
      </c>
    </row>
    <row r="11" spans="1:18" ht="14.25" customHeight="1" x14ac:dyDescent="0.2">
      <c r="A11" s="21">
        <v>8</v>
      </c>
      <c r="B11" s="21">
        <f t="shared" si="0"/>
        <v>0</v>
      </c>
      <c r="C11" s="21">
        <f t="shared" si="0"/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2"/>
        <v>2.9551647767797613</v>
      </c>
      <c r="O11" s="21">
        <f t="shared" si="2"/>
        <v>3.3872677135040643</v>
      </c>
      <c r="P11" s="21">
        <f t="shared" si="2"/>
        <v>2.7905037824852736</v>
      </c>
      <c r="Q11" s="21">
        <f t="shared" si="2"/>
        <v>3.4350507493454905</v>
      </c>
      <c r="R11" s="21">
        <f t="shared" si="2"/>
        <v>3.6873803368007003</v>
      </c>
    </row>
    <row r="12" spans="1:18" ht="14.25" customHeight="1" x14ac:dyDescent="0.2">
      <c r="A12" s="21">
        <v>9</v>
      </c>
      <c r="B12" s="21">
        <f t="shared" si="0"/>
        <v>0</v>
      </c>
      <c r="C12" s="21">
        <f t="shared" si="0"/>
        <v>0</v>
      </c>
      <c r="D12" s="21">
        <f t="shared" si="0"/>
        <v>0</v>
      </c>
      <c r="E12" s="21">
        <f t="shared" si="0"/>
        <v>0</v>
      </c>
      <c r="F12" s="21">
        <f t="shared" si="0"/>
        <v>0</v>
      </c>
      <c r="G12" s="21">
        <f t="shared" si="0"/>
        <v>0</v>
      </c>
      <c r="H12" s="21">
        <f t="shared" si="0"/>
        <v>0</v>
      </c>
      <c r="I12" s="21">
        <f t="shared" si="0"/>
        <v>0</v>
      </c>
      <c r="J12" s="21">
        <f t="shared" si="0"/>
        <v>0</v>
      </c>
      <c r="K12" s="21">
        <f t="shared" si="0"/>
        <v>0</v>
      </c>
      <c r="L12" s="21">
        <f t="shared" si="0"/>
        <v>0</v>
      </c>
      <c r="M12" s="21">
        <f t="shared" si="0"/>
        <v>0</v>
      </c>
      <c r="N12" s="21">
        <f t="shared" si="2"/>
        <v>3.3245603738772314</v>
      </c>
      <c r="O12" s="21">
        <f t="shared" si="2"/>
        <v>3.8106761776920726</v>
      </c>
      <c r="P12" s="21">
        <f t="shared" si="2"/>
        <v>3.1393167552959329</v>
      </c>
      <c r="Q12" s="21">
        <f t="shared" si="2"/>
        <v>3.8644320930136766</v>
      </c>
      <c r="R12" s="21">
        <f t="shared" si="2"/>
        <v>4.1483028789007879</v>
      </c>
    </row>
    <row r="13" spans="1:18" ht="14.25" customHeight="1" x14ac:dyDescent="0.2">
      <c r="A13" s="21">
        <v>10</v>
      </c>
      <c r="B13" s="21">
        <f t="shared" si="0"/>
        <v>0</v>
      </c>
      <c r="C13" s="21">
        <f t="shared" si="0"/>
        <v>0</v>
      </c>
      <c r="D13" s="21">
        <f t="shared" si="0"/>
        <v>0</v>
      </c>
      <c r="E13" s="21">
        <f t="shared" si="0"/>
        <v>0</v>
      </c>
      <c r="F13" s="21">
        <f t="shared" si="0"/>
        <v>0</v>
      </c>
      <c r="G13" s="21">
        <f t="shared" si="0"/>
        <v>0</v>
      </c>
      <c r="H13" s="21">
        <f t="shared" si="0"/>
        <v>0</v>
      </c>
      <c r="I13" s="21">
        <f t="shared" si="0"/>
        <v>0</v>
      </c>
      <c r="J13" s="21">
        <f t="shared" si="0"/>
        <v>0</v>
      </c>
      <c r="K13" s="21">
        <f t="shared" si="0"/>
        <v>0</v>
      </c>
      <c r="L13" s="21">
        <f t="shared" si="0"/>
        <v>0</v>
      </c>
      <c r="M13" s="21">
        <f t="shared" si="0"/>
        <v>0</v>
      </c>
      <c r="N13" s="21">
        <f t="shared" si="2"/>
        <v>3.6939559709747014</v>
      </c>
      <c r="O13" s="21">
        <f t="shared" si="2"/>
        <v>4.2340846418800808</v>
      </c>
      <c r="P13" s="21">
        <f t="shared" si="2"/>
        <v>3.4881297281065922</v>
      </c>
      <c r="Q13" s="21">
        <f t="shared" si="2"/>
        <v>4.2938134366818632</v>
      </c>
      <c r="R13" s="21">
        <f t="shared" si="2"/>
        <v>4.6092254210008754</v>
      </c>
    </row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2" sqref="H42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1.66406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15.1640625" style="11"/>
  </cols>
  <sheetData>
    <row r="1" spans="1:18" ht="14.25" customHeight="1" x14ac:dyDescent="0.15">
      <c r="A1" s="9" t="s">
        <v>83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</row>
    <row r="2" spans="1:18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18" ht="14.25" customHeight="1" x14ac:dyDescent="0.2">
      <c r="A3" s="10" t="s">
        <v>40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F3" s="11">
        <v>-4.4816831701244619E-2</v>
      </c>
      <c r="G3" s="14">
        <v>-8.4334628297678918E-2</v>
      </c>
      <c r="H3" s="11">
        <v>-0.16365134005964357</v>
      </c>
      <c r="I3" s="14">
        <v>-0.16606013074542214</v>
      </c>
      <c r="J3" s="14">
        <v>0</v>
      </c>
      <c r="K3" s="11">
        <v>0</v>
      </c>
      <c r="L3" s="14">
        <v>-0.14956533356878929</v>
      </c>
      <c r="M3" s="11">
        <v>0</v>
      </c>
      <c r="N3" s="11">
        <v>0</v>
      </c>
      <c r="O3" s="14">
        <v>-7.4997041976585674E-2</v>
      </c>
      <c r="P3" s="14">
        <v>-7.2627900152943126E-2</v>
      </c>
      <c r="Q3" s="14">
        <v>-4.7892163345956758E-2</v>
      </c>
      <c r="R3" s="11">
        <v>0</v>
      </c>
    </row>
    <row r="4" spans="1:18" ht="14.25" customHeight="1" x14ac:dyDescent="0.2">
      <c r="A4" s="10" t="s">
        <v>84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F4" s="11">
        <v>-0.44486490523087008</v>
      </c>
      <c r="G4" s="14">
        <v>-0.74607937420916148</v>
      </c>
      <c r="H4" s="11">
        <v>-0.45599416854641206</v>
      </c>
      <c r="I4" s="14">
        <v>-0.45857100578021531</v>
      </c>
      <c r="J4" s="14">
        <v>-0.96876750191524652</v>
      </c>
      <c r="K4" s="11">
        <v>0</v>
      </c>
      <c r="L4" s="14">
        <v>-0.67716236927389961</v>
      </c>
      <c r="M4" s="11">
        <v>-0.75264977151626122</v>
      </c>
      <c r="N4" s="14">
        <v>-0.72416235460044132</v>
      </c>
      <c r="O4" s="14">
        <v>-0.75748479118441514</v>
      </c>
      <c r="P4" s="14">
        <v>-0.73324818155860028</v>
      </c>
      <c r="Q4" s="14">
        <v>-0.7018673516990025</v>
      </c>
      <c r="R4" s="14">
        <v>-0.86933297554770661</v>
      </c>
    </row>
    <row r="5" spans="1:18" ht="14.25" customHeight="1" x14ac:dyDescent="0.2">
      <c r="A5" s="10" t="s">
        <v>51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F5" s="11">
        <v>-0.53849946447317221</v>
      </c>
      <c r="G5" s="14">
        <v>-0.69083472793341638</v>
      </c>
      <c r="H5" s="11">
        <v>-0.51386656543329567</v>
      </c>
      <c r="I5" s="14">
        <v>-0.74202314980254025</v>
      </c>
      <c r="J5" s="14">
        <v>-0.56375663060367742</v>
      </c>
      <c r="K5" s="11">
        <v>-1.0477568022012522</v>
      </c>
      <c r="L5" s="14">
        <v>-0.70265273221438274</v>
      </c>
      <c r="M5" s="11">
        <v>-0.76252505640862922</v>
      </c>
      <c r="N5" s="14">
        <v>-0.69371680136034286</v>
      </c>
      <c r="O5" s="14">
        <v>-0.65383934172831626</v>
      </c>
      <c r="P5" s="14">
        <v>-0.72284040295497687</v>
      </c>
      <c r="Q5" s="14">
        <v>-0.73117813294922296</v>
      </c>
      <c r="R5" s="14">
        <v>-0.71444512069707944</v>
      </c>
    </row>
    <row r="6" spans="1:18" ht="14.25" customHeight="1" x14ac:dyDescent="0.2">
      <c r="A6" s="10" t="s">
        <v>28</v>
      </c>
      <c r="B6" s="11">
        <v>-0.15022040497886438</v>
      </c>
      <c r="C6" s="14">
        <v>0</v>
      </c>
      <c r="D6" s="11">
        <v>0</v>
      </c>
      <c r="E6" s="11">
        <v>0</v>
      </c>
      <c r="F6" s="11">
        <v>-0.14596787715459894</v>
      </c>
      <c r="G6" s="14">
        <v>0</v>
      </c>
      <c r="H6" s="11">
        <v>-0.15452769198437627</v>
      </c>
      <c r="I6" s="14">
        <v>0</v>
      </c>
      <c r="J6" s="14">
        <v>0</v>
      </c>
      <c r="K6" s="11">
        <v>0</v>
      </c>
      <c r="L6" s="14">
        <v>0</v>
      </c>
      <c r="M6" s="11">
        <v>0</v>
      </c>
      <c r="N6" s="11">
        <v>0</v>
      </c>
      <c r="O6" s="14">
        <v>-0.1601793946793045</v>
      </c>
      <c r="P6" s="11">
        <v>0</v>
      </c>
      <c r="Q6" s="14">
        <v>-0.17227351569659402</v>
      </c>
      <c r="R6" s="11">
        <v>0</v>
      </c>
    </row>
    <row r="7" spans="1:18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F7" s="11">
        <v>-0.58909892180626389</v>
      </c>
      <c r="G7" s="14">
        <v>-0.38868954970607367</v>
      </c>
      <c r="H7" s="11">
        <v>-0.63543775022225635</v>
      </c>
      <c r="I7" s="14">
        <v>-0.39112094585670748</v>
      </c>
      <c r="J7" s="14">
        <v>0</v>
      </c>
      <c r="K7" s="11">
        <v>0</v>
      </c>
      <c r="L7" s="14">
        <v>-0.36440129846129843</v>
      </c>
      <c r="M7" s="11">
        <v>-0.80251292771839355</v>
      </c>
      <c r="N7" s="14">
        <v>-0.29158935759402316</v>
      </c>
      <c r="O7" s="14">
        <v>-0.34053742244727692</v>
      </c>
      <c r="P7" s="14">
        <v>-0.37884343726085495</v>
      </c>
      <c r="Q7" s="14">
        <v>-0.32732394744709448</v>
      </c>
      <c r="R7" s="14">
        <v>-0.64584175941033373</v>
      </c>
    </row>
    <row r="8" spans="1:18" ht="14.25" customHeight="1" x14ac:dyDescent="0.2">
      <c r="A8" s="10" t="s">
        <v>33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F8" s="11">
        <v>-0.41426311508980412</v>
      </c>
      <c r="G8" s="14">
        <v>-0.40470331680599658</v>
      </c>
      <c r="H8" s="11">
        <v>0</v>
      </c>
      <c r="I8" s="14">
        <v>-0.36071484289199895</v>
      </c>
      <c r="J8" s="14">
        <v>0</v>
      </c>
      <c r="K8" s="11">
        <v>-0.5413129756375652</v>
      </c>
      <c r="L8" s="14">
        <v>-0.40355956474414045</v>
      </c>
      <c r="M8" s="11">
        <v>0</v>
      </c>
      <c r="N8" s="14">
        <v>-0.36247452345077602</v>
      </c>
      <c r="O8" s="14">
        <v>-0.39246510588462069</v>
      </c>
      <c r="P8" s="14">
        <v>-0.42791481511983764</v>
      </c>
      <c r="Q8" s="14">
        <v>-0.36388369350026994</v>
      </c>
      <c r="R8" s="14">
        <v>-0.46406985121025279</v>
      </c>
    </row>
    <row r="9" spans="1:18" ht="14.25" customHeight="1" x14ac:dyDescent="0.15"/>
    <row r="10" spans="1:18" ht="14.25" customHeight="1" x14ac:dyDescent="0.15"/>
    <row r="11" spans="1:18" ht="14.25" customHeight="1" x14ac:dyDescent="0.2">
      <c r="B11" s="23"/>
    </row>
    <row r="12" spans="1:18" ht="14.25" customHeight="1" x14ac:dyDescent="0.15"/>
    <row r="13" spans="1:18" ht="14.25" customHeight="1" x14ac:dyDescent="0.15"/>
    <row r="14" spans="1:18" ht="14.25" customHeight="1" x14ac:dyDescent="0.15"/>
    <row r="15" spans="1:18" ht="14.25" customHeight="1" x14ac:dyDescent="0.15"/>
    <row r="16" spans="1:1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baseColWidth="10" defaultColWidth="14.1640625" defaultRowHeight="15" customHeight="1" x14ac:dyDescent="0.2"/>
  <cols>
    <col min="1" max="1" width="11.5" style="17" bestFit="1" customWidth="1"/>
    <col min="2" max="2" width="15.83203125" style="17" bestFit="1" customWidth="1"/>
    <col min="3" max="3" width="14.1640625" style="17" bestFit="1" customWidth="1"/>
    <col min="4" max="4" width="29.33203125" style="17" bestFit="1" customWidth="1"/>
    <col min="5" max="5" width="24.83203125" style="17" bestFit="1" customWidth="1"/>
    <col min="6" max="6" width="17" style="17" bestFit="1" customWidth="1"/>
    <col min="7" max="7" width="14" style="17" bestFit="1" customWidth="1"/>
    <col min="8" max="8" width="27.1640625" style="17" bestFit="1" customWidth="1"/>
    <col min="9" max="9" width="23.83203125" style="17" bestFit="1" customWidth="1"/>
    <col min="10" max="10" width="29.6640625" style="17" bestFit="1" customWidth="1"/>
    <col min="11" max="11" width="16.83203125" style="17" bestFit="1" customWidth="1"/>
    <col min="12" max="12" width="15" style="17" bestFit="1" customWidth="1"/>
    <col min="13" max="13" width="20" style="17" bestFit="1" customWidth="1"/>
    <col min="14" max="14" width="18.1640625" style="17" bestFit="1" customWidth="1"/>
    <col min="15" max="15" width="27.83203125" style="17" bestFit="1" customWidth="1"/>
    <col min="16" max="16" width="18" style="17" bestFit="1" customWidth="1"/>
    <col min="17" max="17" width="27.83203125" style="17" bestFit="1" customWidth="1"/>
    <col min="18" max="18" width="19.5" style="17" bestFit="1" customWidth="1"/>
    <col min="19" max="16384" width="14.1640625" style="17"/>
  </cols>
  <sheetData>
    <row r="1" spans="1:18" ht="14.25" customHeight="1" x14ac:dyDescent="0.2">
      <c r="A1" s="15" t="s">
        <v>85</v>
      </c>
      <c r="B1" s="16" t="s">
        <v>62</v>
      </c>
      <c r="C1" s="16" t="s">
        <v>63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68</v>
      </c>
      <c r="I1" s="16" t="s">
        <v>95</v>
      </c>
      <c r="J1" s="16" t="s">
        <v>70</v>
      </c>
      <c r="K1" s="16" t="s">
        <v>71</v>
      </c>
      <c r="L1" s="16" t="s">
        <v>72</v>
      </c>
      <c r="M1" s="16" t="s">
        <v>73</v>
      </c>
      <c r="N1" s="16" t="s">
        <v>74</v>
      </c>
      <c r="O1" s="16" t="s">
        <v>75</v>
      </c>
      <c r="P1" s="16" t="s">
        <v>76</v>
      </c>
      <c r="Q1" s="16" t="s">
        <v>77</v>
      </c>
      <c r="R1" s="16" t="s">
        <v>78</v>
      </c>
    </row>
    <row r="2" spans="1:18" ht="14.25" customHeight="1" x14ac:dyDescent="0.2">
      <c r="A2" s="15" t="s">
        <v>12</v>
      </c>
      <c r="B2" s="25">
        <v>0</v>
      </c>
      <c r="C2" s="25">
        <v>0</v>
      </c>
      <c r="D2" s="25">
        <v>0</v>
      </c>
      <c r="E2" s="25">
        <v>0</v>
      </c>
      <c r="F2" s="25">
        <v>0</v>
      </c>
      <c r="G2" s="25">
        <v>0</v>
      </c>
      <c r="H2" s="25">
        <v>0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</row>
    <row r="3" spans="1:18" ht="14.25" customHeight="1" x14ac:dyDescent="0.2">
      <c r="A3" s="15" t="s">
        <v>48</v>
      </c>
      <c r="B3" s="17">
        <v>-0.25341959473074482</v>
      </c>
      <c r="C3" s="14">
        <v>-0.62064611727680385</v>
      </c>
      <c r="D3" s="17">
        <v>0.40598454389823191</v>
      </c>
      <c r="E3" s="14">
        <v>0.2371715511820284</v>
      </c>
      <c r="F3" s="17">
        <v>-0.18919761184171832</v>
      </c>
      <c r="G3" s="14">
        <v>-0.67027695110790386</v>
      </c>
      <c r="H3" s="17">
        <v>0.23729897186967311</v>
      </c>
      <c r="I3" s="14">
        <v>0</v>
      </c>
      <c r="J3" s="17">
        <v>0.44813855578295719</v>
      </c>
      <c r="K3" s="17">
        <v>0.64488840636619771</v>
      </c>
      <c r="L3" s="14">
        <v>0.19721300355036719</v>
      </c>
      <c r="M3" s="17">
        <v>0.37690073946668795</v>
      </c>
      <c r="N3" s="14">
        <v>-0.7212939091595868</v>
      </c>
      <c r="O3" s="14">
        <v>-7.8362604106368819E-2</v>
      </c>
      <c r="P3" s="14">
        <v>-0.80472074814616634</v>
      </c>
      <c r="Q3" s="14">
        <v>-0.30864703404275173</v>
      </c>
      <c r="R3" s="14">
        <v>5.8772426078684874E-2</v>
      </c>
    </row>
    <row r="4" spans="1:18" ht="14.25" customHeight="1" x14ac:dyDescent="0.2">
      <c r="A4" s="16" t="s">
        <v>33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</row>
    <row r="5" spans="1:18" ht="14.25" customHeight="1" x14ac:dyDescent="0.2"/>
    <row r="6" spans="1:18" ht="14.25" customHeight="1" x14ac:dyDescent="0.2"/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9" sqref="K19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15.5" style="7" bestFit="1" customWidth="1"/>
    <col min="9" max="9" width="14.33203125" style="7" bestFit="1" customWidth="1"/>
    <col min="10" max="10" width="24.5" style="7" bestFit="1" customWidth="1"/>
    <col min="11" max="11" width="21.6640625" style="7" bestFit="1" customWidth="1"/>
    <col min="12" max="12" width="27.33203125" style="7" bestFit="1" customWidth="1"/>
    <col min="13" max="13" width="15" style="7" bestFit="1" customWidth="1"/>
    <col min="14" max="14" width="14.33203125" style="7" bestFit="1" customWidth="1"/>
    <col min="15" max="15" width="18.33203125" style="7" bestFit="1" customWidth="1"/>
    <col min="16" max="16" width="16.5" style="7" bestFit="1" customWidth="1"/>
    <col min="17" max="17" width="25" style="7" bestFit="1" customWidth="1"/>
    <col min="18" max="18" width="16.33203125" style="7" bestFit="1" customWidth="1"/>
    <col min="19" max="19" width="25" style="7" bestFit="1" customWidth="1"/>
    <col min="20" max="20" width="17.33203125" style="7" bestFit="1" customWidth="1"/>
    <col min="21" max="16384" width="6.83203125" style="7"/>
  </cols>
  <sheetData>
    <row r="1" spans="1:20" ht="14.25" customHeight="1" x14ac:dyDescent="0.2">
      <c r="A1" s="5" t="s">
        <v>86</v>
      </c>
      <c r="B1" s="5" t="s">
        <v>87</v>
      </c>
      <c r="C1" s="26" t="s">
        <v>88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27" t="s">
        <v>67</v>
      </c>
      <c r="J1" s="27" t="s">
        <v>68</v>
      </c>
      <c r="K1" s="27" t="s">
        <v>95</v>
      </c>
      <c r="L1" s="27" t="s">
        <v>70</v>
      </c>
      <c r="M1" s="27" t="s">
        <v>71</v>
      </c>
      <c r="N1" s="27" t="s">
        <v>72</v>
      </c>
      <c r="O1" s="27" t="s">
        <v>73</v>
      </c>
      <c r="P1" s="27" t="s">
        <v>74</v>
      </c>
      <c r="Q1" s="27" t="s">
        <v>75</v>
      </c>
      <c r="R1" s="27" t="s">
        <v>76</v>
      </c>
      <c r="S1" s="27" t="s">
        <v>77</v>
      </c>
      <c r="T1" s="27" t="s">
        <v>78</v>
      </c>
    </row>
    <row r="2" spans="1:20" ht="14.25" customHeight="1" x14ac:dyDescent="0.2">
      <c r="A2" s="5" t="s">
        <v>33</v>
      </c>
      <c r="B2" s="5" t="s">
        <v>33</v>
      </c>
      <c r="C2" s="26" t="s">
        <v>33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</row>
    <row r="3" spans="1:20" ht="14.25" customHeight="1" x14ac:dyDescent="0.2">
      <c r="A3" s="5">
        <v>0</v>
      </c>
      <c r="B3" s="5">
        <v>30</v>
      </c>
      <c r="C3" s="26" t="s">
        <v>93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</row>
    <row r="4" spans="1:20" ht="14.25" customHeight="1" x14ac:dyDescent="0.2">
      <c r="A4" s="5">
        <v>31</v>
      </c>
      <c r="B4" s="5">
        <v>90</v>
      </c>
      <c r="C4" s="26" t="s">
        <v>94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</row>
    <row r="5" spans="1:20" ht="14.25" customHeight="1" x14ac:dyDescent="0.2">
      <c r="A5" s="5">
        <v>91</v>
      </c>
      <c r="B5" s="5">
        <v>365</v>
      </c>
      <c r="C5" s="26" t="s">
        <v>89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H5" s="7">
        <v>-0.69372556481569236</v>
      </c>
      <c r="I5" s="8">
        <v>-0.71124366296426333</v>
      </c>
      <c r="J5" s="7">
        <v>-0.66646556322606842</v>
      </c>
      <c r="K5" s="8">
        <v>-0.72571902165154201</v>
      </c>
      <c r="L5" s="8">
        <v>-0.38940783999071493</v>
      </c>
      <c r="M5" s="7">
        <v>-0.39468663884839217</v>
      </c>
      <c r="N5" s="8">
        <v>-0.71879769169567009</v>
      </c>
      <c r="O5" s="7">
        <v>-0.41072404347460878</v>
      </c>
      <c r="P5" s="8">
        <v>-0.64322176198156922</v>
      </c>
      <c r="Q5" s="8">
        <v>-0.47890854548691331</v>
      </c>
      <c r="R5" s="8">
        <v>-0.74329570658026545</v>
      </c>
      <c r="S5" s="8">
        <v>-0.63321365009990127</v>
      </c>
      <c r="T5" s="8">
        <v>-0.63078718000693612</v>
      </c>
    </row>
    <row r="6" spans="1:20" ht="14.25" customHeight="1" x14ac:dyDescent="0.2">
      <c r="A6" s="5">
        <v>366</v>
      </c>
      <c r="B6" s="5" t="s">
        <v>90</v>
      </c>
      <c r="C6" s="26" t="s">
        <v>91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H6" s="7">
        <v>-0.69372556481569236</v>
      </c>
      <c r="I6" s="8">
        <v>-0.71124366296426333</v>
      </c>
      <c r="J6" s="7">
        <v>-0.66646556322606842</v>
      </c>
      <c r="K6" s="8">
        <v>-0.72571902165154201</v>
      </c>
      <c r="L6" s="8">
        <v>-0.38940783999071493</v>
      </c>
      <c r="M6" s="7">
        <v>-0.39468663884839217</v>
      </c>
      <c r="N6" s="8">
        <v>-0.71879769169567009</v>
      </c>
      <c r="O6" s="7">
        <v>-0.41072404347460878</v>
      </c>
      <c r="P6" s="8">
        <v>-0.64322176198156922</v>
      </c>
      <c r="Q6" s="8">
        <v>-0.47890854548691331</v>
      </c>
      <c r="R6" s="8">
        <v>-0.74329570658026545</v>
      </c>
      <c r="S6" s="8">
        <v>-0.63321365009990127</v>
      </c>
      <c r="T6" s="8">
        <v>-0.63078718000693612</v>
      </c>
    </row>
    <row r="7" spans="1:20" ht="14.25" customHeight="1" x14ac:dyDescent="0.2">
      <c r="A7" s="5"/>
      <c r="B7" s="5"/>
      <c r="C7" s="26"/>
      <c r="D7" s="26"/>
      <c r="E7" s="26"/>
      <c r="F7" s="26"/>
      <c r="H7" s="26"/>
      <c r="I7" s="26"/>
      <c r="J7" s="26"/>
      <c r="K7" s="26"/>
      <c r="L7" s="26"/>
      <c r="M7" s="26"/>
      <c r="N7" s="26"/>
    </row>
    <row r="8" spans="1:20" ht="14.25" customHeight="1" x14ac:dyDescent="0.2">
      <c r="A8" s="5"/>
      <c r="B8" s="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20" ht="14.25" customHeight="1" x14ac:dyDescent="0.2">
      <c r="A9" s="5"/>
      <c r="B9" s="3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20" ht="14.25" customHeight="1" x14ac:dyDescent="0.15"/>
    <row r="11" spans="1:20" ht="14.25" customHeight="1" x14ac:dyDescent="0.2"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Deutscher</cp:lastModifiedBy>
  <dcterms:created xsi:type="dcterms:W3CDTF">2025-11-04T14:20:01Z</dcterms:created>
  <dcterms:modified xsi:type="dcterms:W3CDTF">2026-04-03T10:13:18Z</dcterms:modified>
</cp:coreProperties>
</file>