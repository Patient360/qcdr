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niel/Documents/NET-HEALTH/LIMBER/Limber RA/New RA/Patch 2026/Outputs/"/>
    </mc:Choice>
  </mc:AlternateContent>
  <xr:revisionPtr revIDLastSave="0" documentId="13_ncr:1_{BF23839B-5602-A94D-8F00-32B85E085880}" xr6:coauthVersionLast="47" xr6:coauthVersionMax="47" xr10:uidLastSave="{00000000-0000-0000-0000-000000000000}"/>
  <bookViews>
    <workbookView xWindow="4900" yWindow="500" windowWidth="36060" windowHeight="22540" xr2:uid="{00000000-000D-0000-FFFF-FFFF00000000}"/>
  </bookViews>
  <sheets>
    <sheet name="Patient Data" sheetId="1" r:id="rId1"/>
    <sheet name="Intercepts" sheetId="2" r:id="rId2"/>
    <sheet name="Age" sheetId="3" r:id="rId3"/>
    <sheet name="Sex" sheetId="4" r:id="rId4"/>
    <sheet name="AdmitScore" sheetId="5" r:id="rId5"/>
    <sheet name="AdmitPain" sheetId="6" r:id="rId6"/>
    <sheet name="Payer" sheetId="7" r:id="rId7"/>
    <sheet name="TxType" sheetId="8" r:id="rId8"/>
    <sheet name="Duration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7" roundtripDataChecksum="NsmO5FKBA6GmQpcxTe5iEVzqQXnDWeGbT+j3eyKlJ3s="/>
    </ext>
  </extLst>
</workbook>
</file>

<file path=xl/calcChain.xml><?xml version="1.0" encoding="utf-8"?>
<calcChain xmlns="http://schemas.openxmlformats.org/spreadsheetml/2006/main">
  <c r="L4" i="1" l="1"/>
  <c r="K34" i="1"/>
  <c r="B5" i="6"/>
  <c r="C5" i="6"/>
  <c r="D5" i="6"/>
  <c r="E5" i="6"/>
  <c r="F5" i="6"/>
  <c r="G5" i="6"/>
  <c r="H5" i="6"/>
  <c r="I5" i="6"/>
  <c r="J5" i="6"/>
  <c r="K5" i="6"/>
  <c r="L5" i="6"/>
  <c r="M5" i="6"/>
  <c r="B6" i="6"/>
  <c r="C6" i="6"/>
  <c r="D6" i="6"/>
  <c r="E6" i="6"/>
  <c r="F6" i="6"/>
  <c r="G6" i="6"/>
  <c r="H6" i="6"/>
  <c r="I6" i="6"/>
  <c r="J6" i="6"/>
  <c r="K6" i="6"/>
  <c r="L6" i="6"/>
  <c r="M6" i="6"/>
  <c r="B7" i="6"/>
  <c r="C7" i="6"/>
  <c r="D7" i="6"/>
  <c r="E7" i="6"/>
  <c r="F7" i="6"/>
  <c r="G7" i="6"/>
  <c r="H7" i="6"/>
  <c r="I7" i="6"/>
  <c r="J7" i="6"/>
  <c r="K7" i="6"/>
  <c r="L7" i="6"/>
  <c r="M7" i="6"/>
  <c r="B8" i="6"/>
  <c r="C8" i="6"/>
  <c r="D8" i="6"/>
  <c r="E8" i="6"/>
  <c r="F8" i="6"/>
  <c r="G8" i="6"/>
  <c r="H8" i="6"/>
  <c r="I8" i="6"/>
  <c r="J8" i="6"/>
  <c r="K8" i="6"/>
  <c r="L8" i="6"/>
  <c r="M8" i="6"/>
  <c r="B9" i="6"/>
  <c r="C9" i="6"/>
  <c r="D9" i="6"/>
  <c r="E9" i="6"/>
  <c r="F9" i="6"/>
  <c r="G9" i="6"/>
  <c r="H9" i="6"/>
  <c r="I9" i="6"/>
  <c r="J9" i="6"/>
  <c r="K9" i="6"/>
  <c r="L9" i="6"/>
  <c r="M9" i="6"/>
  <c r="B10" i="6"/>
  <c r="C10" i="6"/>
  <c r="D10" i="6"/>
  <c r="E10" i="6"/>
  <c r="F10" i="6"/>
  <c r="G10" i="6"/>
  <c r="H10" i="6"/>
  <c r="I10" i="6"/>
  <c r="J10" i="6"/>
  <c r="K10" i="6"/>
  <c r="L10" i="6"/>
  <c r="M10" i="6"/>
  <c r="B11" i="6"/>
  <c r="C11" i="6"/>
  <c r="D11" i="6"/>
  <c r="E11" i="6"/>
  <c r="F11" i="6"/>
  <c r="G11" i="6"/>
  <c r="H11" i="6"/>
  <c r="I11" i="6"/>
  <c r="J11" i="6"/>
  <c r="K11" i="6"/>
  <c r="L11" i="6"/>
  <c r="M11" i="6"/>
  <c r="B12" i="6"/>
  <c r="C12" i="6"/>
  <c r="D12" i="6"/>
  <c r="E12" i="6"/>
  <c r="F12" i="6"/>
  <c r="G12" i="6"/>
  <c r="H12" i="6"/>
  <c r="I12" i="6"/>
  <c r="J12" i="6"/>
  <c r="K12" i="6"/>
  <c r="L12" i="6"/>
  <c r="M12" i="6"/>
  <c r="B13" i="6"/>
  <c r="C13" i="6"/>
  <c r="D13" i="6"/>
  <c r="E13" i="6"/>
  <c r="F13" i="6"/>
  <c r="G13" i="6"/>
  <c r="H13" i="6"/>
  <c r="I13" i="6"/>
  <c r="J13" i="6"/>
  <c r="K13" i="6"/>
  <c r="L13" i="6"/>
  <c r="M13" i="6"/>
  <c r="O5" i="6"/>
  <c r="P5" i="6"/>
  <c r="Q5" i="6"/>
  <c r="R5" i="6"/>
  <c r="O6" i="6"/>
  <c r="P6" i="6"/>
  <c r="Q6" i="6"/>
  <c r="R6" i="6"/>
  <c r="O7" i="6"/>
  <c r="P7" i="6"/>
  <c r="Q7" i="6"/>
  <c r="R7" i="6"/>
  <c r="O8" i="6"/>
  <c r="P8" i="6"/>
  <c r="Q8" i="6"/>
  <c r="R8" i="6"/>
  <c r="O9" i="6"/>
  <c r="P9" i="6"/>
  <c r="Q9" i="6"/>
  <c r="R9" i="6"/>
  <c r="O10" i="6"/>
  <c r="P10" i="6"/>
  <c r="Q10" i="6"/>
  <c r="R10" i="6"/>
  <c r="O11" i="6"/>
  <c r="P11" i="6"/>
  <c r="Q11" i="6"/>
  <c r="R11" i="6"/>
  <c r="O12" i="6"/>
  <c r="P12" i="6"/>
  <c r="Q12" i="6"/>
  <c r="R12" i="6"/>
  <c r="O13" i="6"/>
  <c r="P13" i="6"/>
  <c r="Q13" i="6"/>
  <c r="R13" i="6"/>
  <c r="N6" i="6"/>
  <c r="N7" i="6"/>
  <c r="N8" i="6"/>
  <c r="N9" i="6"/>
  <c r="N10" i="6"/>
  <c r="N11" i="6"/>
  <c r="N12" i="6"/>
  <c r="N13" i="6"/>
  <c r="N5" i="6"/>
  <c r="C5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C6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C7" i="5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R7" i="5"/>
  <c r="C8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C9" i="5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C10" i="5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R10" i="5"/>
  <c r="C11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C12" i="5"/>
  <c r="D12" i="5"/>
  <c r="E12" i="5"/>
  <c r="F12" i="5"/>
  <c r="G12" i="5"/>
  <c r="H12" i="5"/>
  <c r="I12" i="5"/>
  <c r="J12" i="5"/>
  <c r="K12" i="5"/>
  <c r="L12" i="5"/>
  <c r="M12" i="5"/>
  <c r="N12" i="5"/>
  <c r="O12" i="5"/>
  <c r="P12" i="5"/>
  <c r="Q12" i="5"/>
  <c r="R12" i="5"/>
  <c r="C13" i="5"/>
  <c r="D13" i="5"/>
  <c r="E13" i="5"/>
  <c r="F13" i="5"/>
  <c r="G13" i="5"/>
  <c r="H13" i="5"/>
  <c r="I13" i="5"/>
  <c r="J13" i="5"/>
  <c r="K13" i="5"/>
  <c r="L13" i="5"/>
  <c r="M13" i="5"/>
  <c r="N13" i="5"/>
  <c r="O13" i="5"/>
  <c r="P13" i="5"/>
  <c r="Q13" i="5"/>
  <c r="R13" i="5"/>
  <c r="C14" i="5"/>
  <c r="D14" i="5"/>
  <c r="E14" i="5"/>
  <c r="F14" i="5"/>
  <c r="G14" i="5"/>
  <c r="H14" i="5"/>
  <c r="I14" i="5"/>
  <c r="J14" i="5"/>
  <c r="K14" i="5"/>
  <c r="L14" i="5"/>
  <c r="M14" i="5"/>
  <c r="N14" i="5"/>
  <c r="O14" i="5"/>
  <c r="P14" i="5"/>
  <c r="Q14" i="5"/>
  <c r="R14" i="5"/>
  <c r="C15" i="5"/>
  <c r="D15" i="5"/>
  <c r="E15" i="5"/>
  <c r="F15" i="5"/>
  <c r="G15" i="5"/>
  <c r="H15" i="5"/>
  <c r="I15" i="5"/>
  <c r="J15" i="5"/>
  <c r="K15" i="5"/>
  <c r="L15" i="5"/>
  <c r="M15" i="5"/>
  <c r="N15" i="5"/>
  <c r="O15" i="5"/>
  <c r="P15" i="5"/>
  <c r="Q15" i="5"/>
  <c r="R15" i="5"/>
  <c r="C16" i="5"/>
  <c r="D16" i="5"/>
  <c r="E16" i="5"/>
  <c r="F16" i="5"/>
  <c r="G16" i="5"/>
  <c r="H16" i="5"/>
  <c r="I16" i="5"/>
  <c r="J16" i="5"/>
  <c r="K16" i="5"/>
  <c r="L16" i="5"/>
  <c r="M16" i="5"/>
  <c r="N16" i="5"/>
  <c r="O16" i="5"/>
  <c r="P16" i="5"/>
  <c r="Q16" i="5"/>
  <c r="R16" i="5"/>
  <c r="C17" i="5"/>
  <c r="D17" i="5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R17" i="5"/>
  <c r="C18" i="5"/>
  <c r="D18" i="5"/>
  <c r="E18" i="5"/>
  <c r="F18" i="5"/>
  <c r="G18" i="5"/>
  <c r="H18" i="5"/>
  <c r="I18" i="5"/>
  <c r="J18" i="5"/>
  <c r="K18" i="5"/>
  <c r="L18" i="5"/>
  <c r="M18" i="5"/>
  <c r="N18" i="5"/>
  <c r="O18" i="5"/>
  <c r="P18" i="5"/>
  <c r="Q18" i="5"/>
  <c r="R18" i="5"/>
  <c r="C19" i="5"/>
  <c r="D19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C20" i="5"/>
  <c r="D20" i="5"/>
  <c r="E20" i="5"/>
  <c r="F20" i="5"/>
  <c r="G20" i="5"/>
  <c r="H20" i="5"/>
  <c r="I20" i="5"/>
  <c r="J20" i="5"/>
  <c r="K20" i="5"/>
  <c r="L20" i="5"/>
  <c r="M20" i="5"/>
  <c r="N20" i="5"/>
  <c r="O20" i="5"/>
  <c r="P20" i="5"/>
  <c r="Q20" i="5"/>
  <c r="R20" i="5"/>
  <c r="C21" i="5"/>
  <c r="D21" i="5"/>
  <c r="E21" i="5"/>
  <c r="F21" i="5"/>
  <c r="G21" i="5"/>
  <c r="H21" i="5"/>
  <c r="I21" i="5"/>
  <c r="J21" i="5"/>
  <c r="K21" i="5"/>
  <c r="L21" i="5"/>
  <c r="M21" i="5"/>
  <c r="N21" i="5"/>
  <c r="O21" i="5"/>
  <c r="P21" i="5"/>
  <c r="Q21" i="5"/>
  <c r="R21" i="5"/>
  <c r="C22" i="5"/>
  <c r="D22" i="5"/>
  <c r="E22" i="5"/>
  <c r="F22" i="5"/>
  <c r="G22" i="5"/>
  <c r="H22" i="5"/>
  <c r="I22" i="5"/>
  <c r="J22" i="5"/>
  <c r="K22" i="5"/>
  <c r="L22" i="5"/>
  <c r="M22" i="5"/>
  <c r="N22" i="5"/>
  <c r="O22" i="5"/>
  <c r="P22" i="5"/>
  <c r="Q22" i="5"/>
  <c r="R22" i="5"/>
  <c r="C23" i="5"/>
  <c r="D23" i="5"/>
  <c r="E23" i="5"/>
  <c r="F23" i="5"/>
  <c r="G23" i="5"/>
  <c r="H23" i="5"/>
  <c r="I23" i="5"/>
  <c r="J23" i="5"/>
  <c r="K23" i="5"/>
  <c r="L23" i="5"/>
  <c r="M23" i="5"/>
  <c r="N23" i="5"/>
  <c r="O23" i="5"/>
  <c r="P23" i="5"/>
  <c r="Q23" i="5"/>
  <c r="R23" i="5"/>
  <c r="C24" i="5"/>
  <c r="D24" i="5"/>
  <c r="E24" i="5"/>
  <c r="F24" i="5"/>
  <c r="G24" i="5"/>
  <c r="H24" i="5"/>
  <c r="I24" i="5"/>
  <c r="J24" i="5"/>
  <c r="K24" i="5"/>
  <c r="L24" i="5"/>
  <c r="M24" i="5"/>
  <c r="N24" i="5"/>
  <c r="O24" i="5"/>
  <c r="P24" i="5"/>
  <c r="Q24" i="5"/>
  <c r="R24" i="5"/>
  <c r="C25" i="5"/>
  <c r="D25" i="5"/>
  <c r="E25" i="5"/>
  <c r="F25" i="5"/>
  <c r="G25" i="5"/>
  <c r="H25" i="5"/>
  <c r="I25" i="5"/>
  <c r="J25" i="5"/>
  <c r="K25" i="5"/>
  <c r="L25" i="5"/>
  <c r="M25" i="5"/>
  <c r="N25" i="5"/>
  <c r="O25" i="5"/>
  <c r="P25" i="5"/>
  <c r="Q25" i="5"/>
  <c r="R25" i="5"/>
  <c r="C26" i="5"/>
  <c r="D26" i="5"/>
  <c r="E26" i="5"/>
  <c r="F26" i="5"/>
  <c r="G26" i="5"/>
  <c r="H26" i="5"/>
  <c r="I26" i="5"/>
  <c r="J26" i="5"/>
  <c r="K26" i="5"/>
  <c r="L26" i="5"/>
  <c r="M26" i="5"/>
  <c r="N26" i="5"/>
  <c r="O26" i="5"/>
  <c r="P26" i="5"/>
  <c r="Q26" i="5"/>
  <c r="R26" i="5"/>
  <c r="C27" i="5"/>
  <c r="D27" i="5"/>
  <c r="E27" i="5"/>
  <c r="F27" i="5"/>
  <c r="G27" i="5"/>
  <c r="H27" i="5"/>
  <c r="I27" i="5"/>
  <c r="J27" i="5"/>
  <c r="K27" i="5"/>
  <c r="L27" i="5"/>
  <c r="M27" i="5"/>
  <c r="N27" i="5"/>
  <c r="O27" i="5"/>
  <c r="P27" i="5"/>
  <c r="Q27" i="5"/>
  <c r="R27" i="5"/>
  <c r="C28" i="5"/>
  <c r="D28" i="5"/>
  <c r="E28" i="5"/>
  <c r="F28" i="5"/>
  <c r="G28" i="5"/>
  <c r="H28" i="5"/>
  <c r="I28" i="5"/>
  <c r="J28" i="5"/>
  <c r="K28" i="5"/>
  <c r="L28" i="5"/>
  <c r="M28" i="5"/>
  <c r="N28" i="5"/>
  <c r="O28" i="5"/>
  <c r="P28" i="5"/>
  <c r="Q28" i="5"/>
  <c r="R28" i="5"/>
  <c r="C29" i="5"/>
  <c r="D29" i="5"/>
  <c r="E29" i="5"/>
  <c r="F29" i="5"/>
  <c r="G29" i="5"/>
  <c r="H29" i="5"/>
  <c r="I29" i="5"/>
  <c r="J29" i="5"/>
  <c r="K29" i="5"/>
  <c r="L29" i="5"/>
  <c r="M29" i="5"/>
  <c r="N29" i="5"/>
  <c r="O29" i="5"/>
  <c r="P29" i="5"/>
  <c r="Q29" i="5"/>
  <c r="R29" i="5"/>
  <c r="C30" i="5"/>
  <c r="D30" i="5"/>
  <c r="E30" i="5"/>
  <c r="F30" i="5"/>
  <c r="G30" i="5"/>
  <c r="H30" i="5"/>
  <c r="I30" i="5"/>
  <c r="J30" i="5"/>
  <c r="K30" i="5"/>
  <c r="L30" i="5"/>
  <c r="M30" i="5"/>
  <c r="N30" i="5"/>
  <c r="O30" i="5"/>
  <c r="P30" i="5"/>
  <c r="Q30" i="5"/>
  <c r="R30" i="5"/>
  <c r="C31" i="5"/>
  <c r="D31" i="5"/>
  <c r="E31" i="5"/>
  <c r="F31" i="5"/>
  <c r="G31" i="5"/>
  <c r="H31" i="5"/>
  <c r="I31" i="5"/>
  <c r="J31" i="5"/>
  <c r="K31" i="5"/>
  <c r="L31" i="5"/>
  <c r="M31" i="5"/>
  <c r="N31" i="5"/>
  <c r="O31" i="5"/>
  <c r="P31" i="5"/>
  <c r="Q31" i="5"/>
  <c r="R31" i="5"/>
  <c r="C32" i="5"/>
  <c r="D32" i="5"/>
  <c r="E32" i="5"/>
  <c r="F32" i="5"/>
  <c r="G32" i="5"/>
  <c r="H32" i="5"/>
  <c r="I32" i="5"/>
  <c r="J32" i="5"/>
  <c r="K32" i="5"/>
  <c r="L32" i="5"/>
  <c r="M32" i="5"/>
  <c r="N32" i="5"/>
  <c r="O32" i="5"/>
  <c r="P32" i="5"/>
  <c r="Q32" i="5"/>
  <c r="R32" i="5"/>
  <c r="C33" i="5"/>
  <c r="D33" i="5"/>
  <c r="E33" i="5"/>
  <c r="F33" i="5"/>
  <c r="G33" i="5"/>
  <c r="H33" i="5"/>
  <c r="I33" i="5"/>
  <c r="J33" i="5"/>
  <c r="K33" i="5"/>
  <c r="L33" i="5"/>
  <c r="M33" i="5"/>
  <c r="N33" i="5"/>
  <c r="O33" i="5"/>
  <c r="P33" i="5"/>
  <c r="Q33" i="5"/>
  <c r="R33" i="5"/>
  <c r="C34" i="5"/>
  <c r="D34" i="5"/>
  <c r="E34" i="5"/>
  <c r="F34" i="5"/>
  <c r="G34" i="5"/>
  <c r="H34" i="5"/>
  <c r="I34" i="5"/>
  <c r="J34" i="5"/>
  <c r="K34" i="5"/>
  <c r="L34" i="5"/>
  <c r="M34" i="5"/>
  <c r="N34" i="5"/>
  <c r="O34" i="5"/>
  <c r="P34" i="5"/>
  <c r="Q34" i="5"/>
  <c r="R34" i="5"/>
  <c r="C35" i="5"/>
  <c r="D35" i="5"/>
  <c r="E35" i="5"/>
  <c r="F35" i="5"/>
  <c r="G35" i="5"/>
  <c r="H35" i="5"/>
  <c r="I35" i="5"/>
  <c r="J35" i="5"/>
  <c r="K35" i="5"/>
  <c r="L35" i="5"/>
  <c r="M35" i="5"/>
  <c r="N35" i="5"/>
  <c r="O35" i="5"/>
  <c r="P35" i="5"/>
  <c r="Q35" i="5"/>
  <c r="R35" i="5"/>
  <c r="C36" i="5"/>
  <c r="D36" i="5"/>
  <c r="E36" i="5"/>
  <c r="F36" i="5"/>
  <c r="G36" i="5"/>
  <c r="H36" i="5"/>
  <c r="I36" i="5"/>
  <c r="J36" i="5"/>
  <c r="K36" i="5"/>
  <c r="L36" i="5"/>
  <c r="M36" i="5"/>
  <c r="N36" i="5"/>
  <c r="O36" i="5"/>
  <c r="P36" i="5"/>
  <c r="Q36" i="5"/>
  <c r="R36" i="5"/>
  <c r="C37" i="5"/>
  <c r="D37" i="5"/>
  <c r="E37" i="5"/>
  <c r="F37" i="5"/>
  <c r="G37" i="5"/>
  <c r="H37" i="5"/>
  <c r="I37" i="5"/>
  <c r="J37" i="5"/>
  <c r="K37" i="5"/>
  <c r="L37" i="5"/>
  <c r="M37" i="5"/>
  <c r="N37" i="5"/>
  <c r="O37" i="5"/>
  <c r="P37" i="5"/>
  <c r="Q37" i="5"/>
  <c r="R37" i="5"/>
  <c r="C38" i="5"/>
  <c r="D38" i="5"/>
  <c r="E38" i="5"/>
  <c r="F38" i="5"/>
  <c r="G38" i="5"/>
  <c r="H38" i="5"/>
  <c r="I38" i="5"/>
  <c r="J38" i="5"/>
  <c r="K38" i="5"/>
  <c r="L38" i="5"/>
  <c r="M38" i="5"/>
  <c r="N38" i="5"/>
  <c r="O38" i="5"/>
  <c r="P38" i="5"/>
  <c r="Q38" i="5"/>
  <c r="R38" i="5"/>
  <c r="C39" i="5"/>
  <c r="D39" i="5"/>
  <c r="E39" i="5"/>
  <c r="F39" i="5"/>
  <c r="G39" i="5"/>
  <c r="H39" i="5"/>
  <c r="I39" i="5"/>
  <c r="J39" i="5"/>
  <c r="K39" i="5"/>
  <c r="L39" i="5"/>
  <c r="M39" i="5"/>
  <c r="N39" i="5"/>
  <c r="O39" i="5"/>
  <c r="P39" i="5"/>
  <c r="Q39" i="5"/>
  <c r="R39" i="5"/>
  <c r="C40" i="5"/>
  <c r="D40" i="5"/>
  <c r="E40" i="5"/>
  <c r="F40" i="5"/>
  <c r="G40" i="5"/>
  <c r="H40" i="5"/>
  <c r="I40" i="5"/>
  <c r="J40" i="5"/>
  <c r="K40" i="5"/>
  <c r="L40" i="5"/>
  <c r="M40" i="5"/>
  <c r="N40" i="5"/>
  <c r="O40" i="5"/>
  <c r="P40" i="5"/>
  <c r="Q40" i="5"/>
  <c r="R40" i="5"/>
  <c r="C41" i="5"/>
  <c r="D41" i="5"/>
  <c r="E41" i="5"/>
  <c r="F41" i="5"/>
  <c r="G41" i="5"/>
  <c r="H41" i="5"/>
  <c r="I41" i="5"/>
  <c r="J41" i="5"/>
  <c r="K41" i="5"/>
  <c r="L41" i="5"/>
  <c r="M41" i="5"/>
  <c r="N41" i="5"/>
  <c r="O41" i="5"/>
  <c r="P41" i="5"/>
  <c r="Q41" i="5"/>
  <c r="R41" i="5"/>
  <c r="C42" i="5"/>
  <c r="D42" i="5"/>
  <c r="E42" i="5"/>
  <c r="F42" i="5"/>
  <c r="G42" i="5"/>
  <c r="H42" i="5"/>
  <c r="I42" i="5"/>
  <c r="J42" i="5"/>
  <c r="K42" i="5"/>
  <c r="L42" i="5"/>
  <c r="M42" i="5"/>
  <c r="N42" i="5"/>
  <c r="O42" i="5"/>
  <c r="P42" i="5"/>
  <c r="Q42" i="5"/>
  <c r="R42" i="5"/>
  <c r="C43" i="5"/>
  <c r="D43" i="5"/>
  <c r="E43" i="5"/>
  <c r="F43" i="5"/>
  <c r="G43" i="5"/>
  <c r="H43" i="5"/>
  <c r="I43" i="5"/>
  <c r="J43" i="5"/>
  <c r="K43" i="5"/>
  <c r="L43" i="5"/>
  <c r="M43" i="5"/>
  <c r="N43" i="5"/>
  <c r="O43" i="5"/>
  <c r="P43" i="5"/>
  <c r="Q43" i="5"/>
  <c r="R43" i="5"/>
  <c r="C44" i="5"/>
  <c r="D44" i="5"/>
  <c r="E44" i="5"/>
  <c r="F44" i="5"/>
  <c r="G44" i="5"/>
  <c r="H44" i="5"/>
  <c r="I44" i="5"/>
  <c r="J44" i="5"/>
  <c r="K44" i="5"/>
  <c r="L44" i="5"/>
  <c r="M44" i="5"/>
  <c r="N44" i="5"/>
  <c r="O44" i="5"/>
  <c r="P44" i="5"/>
  <c r="Q44" i="5"/>
  <c r="R44" i="5"/>
  <c r="C45" i="5"/>
  <c r="D45" i="5"/>
  <c r="E45" i="5"/>
  <c r="F45" i="5"/>
  <c r="G45" i="5"/>
  <c r="H45" i="5"/>
  <c r="I45" i="5"/>
  <c r="J45" i="5"/>
  <c r="K45" i="5"/>
  <c r="L45" i="5"/>
  <c r="M45" i="5"/>
  <c r="N45" i="5"/>
  <c r="O45" i="5"/>
  <c r="P45" i="5"/>
  <c r="Q45" i="5"/>
  <c r="R45" i="5"/>
  <c r="C46" i="5"/>
  <c r="D46" i="5"/>
  <c r="E46" i="5"/>
  <c r="F46" i="5"/>
  <c r="L25" i="1" s="1"/>
  <c r="M25" i="1" s="1"/>
  <c r="G46" i="5"/>
  <c r="H46" i="5"/>
  <c r="I46" i="5"/>
  <c r="J46" i="5"/>
  <c r="K46" i="5"/>
  <c r="L46" i="5"/>
  <c r="M46" i="5"/>
  <c r="N46" i="5"/>
  <c r="O46" i="5"/>
  <c r="P46" i="5"/>
  <c r="Q46" i="5"/>
  <c r="R46" i="5"/>
  <c r="C47" i="5"/>
  <c r="D47" i="5"/>
  <c r="E47" i="5"/>
  <c r="F47" i="5"/>
  <c r="G47" i="5"/>
  <c r="H47" i="5"/>
  <c r="I47" i="5"/>
  <c r="J47" i="5"/>
  <c r="K47" i="5"/>
  <c r="L47" i="5"/>
  <c r="M47" i="5"/>
  <c r="N47" i="5"/>
  <c r="O47" i="5"/>
  <c r="P47" i="5"/>
  <c r="Q47" i="5"/>
  <c r="R47" i="5"/>
  <c r="C48" i="5"/>
  <c r="D48" i="5"/>
  <c r="E48" i="5"/>
  <c r="F48" i="5"/>
  <c r="G48" i="5"/>
  <c r="H48" i="5"/>
  <c r="I48" i="5"/>
  <c r="J48" i="5"/>
  <c r="K48" i="5"/>
  <c r="L48" i="5"/>
  <c r="M48" i="5"/>
  <c r="N48" i="5"/>
  <c r="O48" i="5"/>
  <c r="P48" i="5"/>
  <c r="Q48" i="5"/>
  <c r="R48" i="5"/>
  <c r="C49" i="5"/>
  <c r="D49" i="5"/>
  <c r="E49" i="5"/>
  <c r="F49" i="5"/>
  <c r="G49" i="5"/>
  <c r="H49" i="5"/>
  <c r="I49" i="5"/>
  <c r="J49" i="5"/>
  <c r="K49" i="5"/>
  <c r="L49" i="5"/>
  <c r="M49" i="5"/>
  <c r="N49" i="5"/>
  <c r="O49" i="5"/>
  <c r="P49" i="5"/>
  <c r="Q49" i="5"/>
  <c r="R49" i="5"/>
  <c r="C50" i="5"/>
  <c r="D50" i="5"/>
  <c r="E50" i="5"/>
  <c r="F50" i="5"/>
  <c r="G50" i="5"/>
  <c r="H50" i="5"/>
  <c r="I50" i="5"/>
  <c r="J50" i="5"/>
  <c r="K50" i="5"/>
  <c r="L50" i="5"/>
  <c r="M50" i="5"/>
  <c r="N50" i="5"/>
  <c r="O50" i="5"/>
  <c r="P50" i="5"/>
  <c r="Q50" i="5"/>
  <c r="R50" i="5"/>
  <c r="C51" i="5"/>
  <c r="D51" i="5"/>
  <c r="E51" i="5"/>
  <c r="F51" i="5"/>
  <c r="G51" i="5"/>
  <c r="H51" i="5"/>
  <c r="I51" i="5"/>
  <c r="J51" i="5"/>
  <c r="K51" i="5"/>
  <c r="L51" i="5"/>
  <c r="M51" i="5"/>
  <c r="N51" i="5"/>
  <c r="O51" i="5"/>
  <c r="P51" i="5"/>
  <c r="Q51" i="5"/>
  <c r="R51" i="5"/>
  <c r="C52" i="5"/>
  <c r="D52" i="5"/>
  <c r="E52" i="5"/>
  <c r="F52" i="5"/>
  <c r="G52" i="5"/>
  <c r="H52" i="5"/>
  <c r="I52" i="5"/>
  <c r="J52" i="5"/>
  <c r="K52" i="5"/>
  <c r="L52" i="5"/>
  <c r="M52" i="5"/>
  <c r="N52" i="5"/>
  <c r="O52" i="5"/>
  <c r="P52" i="5"/>
  <c r="Q52" i="5"/>
  <c r="R52" i="5"/>
  <c r="C53" i="5"/>
  <c r="D53" i="5"/>
  <c r="E53" i="5"/>
  <c r="F53" i="5"/>
  <c r="G53" i="5"/>
  <c r="H53" i="5"/>
  <c r="I53" i="5"/>
  <c r="J53" i="5"/>
  <c r="K53" i="5"/>
  <c r="L53" i="5"/>
  <c r="M53" i="5"/>
  <c r="N53" i="5"/>
  <c r="O53" i="5"/>
  <c r="P53" i="5"/>
  <c r="Q53" i="5"/>
  <c r="R53" i="5"/>
  <c r="C54" i="5"/>
  <c r="D54" i="5"/>
  <c r="E54" i="5"/>
  <c r="F54" i="5"/>
  <c r="G54" i="5"/>
  <c r="H54" i="5"/>
  <c r="I54" i="5"/>
  <c r="J54" i="5"/>
  <c r="K54" i="5"/>
  <c r="L54" i="5"/>
  <c r="M54" i="5"/>
  <c r="N54" i="5"/>
  <c r="O54" i="5"/>
  <c r="P54" i="5"/>
  <c r="Q54" i="5"/>
  <c r="R54" i="5"/>
  <c r="C55" i="5"/>
  <c r="D55" i="5"/>
  <c r="E55" i="5"/>
  <c r="F55" i="5"/>
  <c r="G55" i="5"/>
  <c r="H55" i="5"/>
  <c r="I55" i="5"/>
  <c r="J55" i="5"/>
  <c r="K55" i="5"/>
  <c r="L55" i="5"/>
  <c r="M55" i="5"/>
  <c r="N55" i="5"/>
  <c r="O55" i="5"/>
  <c r="P55" i="5"/>
  <c r="Q55" i="5"/>
  <c r="R55" i="5"/>
  <c r="C56" i="5"/>
  <c r="D56" i="5"/>
  <c r="E56" i="5"/>
  <c r="F56" i="5"/>
  <c r="G56" i="5"/>
  <c r="H56" i="5"/>
  <c r="I56" i="5"/>
  <c r="J56" i="5"/>
  <c r="K56" i="5"/>
  <c r="L56" i="5"/>
  <c r="M56" i="5"/>
  <c r="N56" i="5"/>
  <c r="O56" i="5"/>
  <c r="P56" i="5"/>
  <c r="Q56" i="5"/>
  <c r="R56" i="5"/>
  <c r="C57" i="5"/>
  <c r="D57" i="5"/>
  <c r="E57" i="5"/>
  <c r="F57" i="5"/>
  <c r="G57" i="5"/>
  <c r="H57" i="5"/>
  <c r="I57" i="5"/>
  <c r="J57" i="5"/>
  <c r="K57" i="5"/>
  <c r="L57" i="5"/>
  <c r="M57" i="5"/>
  <c r="N57" i="5"/>
  <c r="O57" i="5"/>
  <c r="P57" i="5"/>
  <c r="Q57" i="5"/>
  <c r="R57" i="5"/>
  <c r="C58" i="5"/>
  <c r="D58" i="5"/>
  <c r="E58" i="5"/>
  <c r="F58" i="5"/>
  <c r="G58" i="5"/>
  <c r="H58" i="5"/>
  <c r="I58" i="5"/>
  <c r="J58" i="5"/>
  <c r="K58" i="5"/>
  <c r="L58" i="5"/>
  <c r="M58" i="5"/>
  <c r="N58" i="5"/>
  <c r="O58" i="5"/>
  <c r="P58" i="5"/>
  <c r="Q58" i="5"/>
  <c r="R58" i="5"/>
  <c r="C59" i="5"/>
  <c r="D59" i="5"/>
  <c r="E59" i="5"/>
  <c r="F59" i="5"/>
  <c r="G59" i="5"/>
  <c r="H59" i="5"/>
  <c r="I59" i="5"/>
  <c r="J59" i="5"/>
  <c r="K59" i="5"/>
  <c r="L59" i="5"/>
  <c r="M59" i="5"/>
  <c r="N59" i="5"/>
  <c r="O59" i="5"/>
  <c r="P59" i="5"/>
  <c r="Q59" i="5"/>
  <c r="R59" i="5"/>
  <c r="C60" i="5"/>
  <c r="D60" i="5"/>
  <c r="E60" i="5"/>
  <c r="F60" i="5"/>
  <c r="G60" i="5"/>
  <c r="H60" i="5"/>
  <c r="I60" i="5"/>
  <c r="J60" i="5"/>
  <c r="K60" i="5"/>
  <c r="L60" i="5"/>
  <c r="M60" i="5"/>
  <c r="N60" i="5"/>
  <c r="O60" i="5"/>
  <c r="P60" i="5"/>
  <c r="Q60" i="5"/>
  <c r="R60" i="5"/>
  <c r="C61" i="5"/>
  <c r="D61" i="5"/>
  <c r="E61" i="5"/>
  <c r="F61" i="5"/>
  <c r="G61" i="5"/>
  <c r="H61" i="5"/>
  <c r="I61" i="5"/>
  <c r="J61" i="5"/>
  <c r="K61" i="5"/>
  <c r="L61" i="5"/>
  <c r="M61" i="5"/>
  <c r="N61" i="5"/>
  <c r="O61" i="5"/>
  <c r="P61" i="5"/>
  <c r="Q61" i="5"/>
  <c r="R61" i="5"/>
  <c r="C62" i="5"/>
  <c r="D62" i="5"/>
  <c r="E62" i="5"/>
  <c r="F62" i="5"/>
  <c r="G62" i="5"/>
  <c r="H62" i="5"/>
  <c r="I62" i="5"/>
  <c r="J62" i="5"/>
  <c r="K62" i="5"/>
  <c r="L62" i="5"/>
  <c r="M62" i="5"/>
  <c r="N62" i="5"/>
  <c r="O62" i="5"/>
  <c r="P62" i="5"/>
  <c r="Q62" i="5"/>
  <c r="R62" i="5"/>
  <c r="C63" i="5"/>
  <c r="D63" i="5"/>
  <c r="E63" i="5"/>
  <c r="F63" i="5"/>
  <c r="G63" i="5"/>
  <c r="H63" i="5"/>
  <c r="I63" i="5"/>
  <c r="J63" i="5"/>
  <c r="K63" i="5"/>
  <c r="L63" i="5"/>
  <c r="M63" i="5"/>
  <c r="N63" i="5"/>
  <c r="O63" i="5"/>
  <c r="P63" i="5"/>
  <c r="Q63" i="5"/>
  <c r="R63" i="5"/>
  <c r="C64" i="5"/>
  <c r="D64" i="5"/>
  <c r="E64" i="5"/>
  <c r="F64" i="5"/>
  <c r="G64" i="5"/>
  <c r="H64" i="5"/>
  <c r="I64" i="5"/>
  <c r="J64" i="5"/>
  <c r="K64" i="5"/>
  <c r="L64" i="5"/>
  <c r="M64" i="5"/>
  <c r="N64" i="5"/>
  <c r="O64" i="5"/>
  <c r="P64" i="5"/>
  <c r="Q64" i="5"/>
  <c r="R64" i="5"/>
  <c r="C65" i="5"/>
  <c r="D65" i="5"/>
  <c r="E65" i="5"/>
  <c r="F65" i="5"/>
  <c r="G65" i="5"/>
  <c r="H65" i="5"/>
  <c r="I65" i="5"/>
  <c r="J65" i="5"/>
  <c r="K65" i="5"/>
  <c r="L65" i="5"/>
  <c r="M65" i="5"/>
  <c r="N65" i="5"/>
  <c r="O65" i="5"/>
  <c r="P65" i="5"/>
  <c r="Q65" i="5"/>
  <c r="R65" i="5"/>
  <c r="C66" i="5"/>
  <c r="D66" i="5"/>
  <c r="E66" i="5"/>
  <c r="F66" i="5"/>
  <c r="G66" i="5"/>
  <c r="H66" i="5"/>
  <c r="I66" i="5"/>
  <c r="J66" i="5"/>
  <c r="K66" i="5"/>
  <c r="L66" i="5"/>
  <c r="M66" i="5"/>
  <c r="N66" i="5"/>
  <c r="O66" i="5"/>
  <c r="P66" i="5"/>
  <c r="Q66" i="5"/>
  <c r="R66" i="5"/>
  <c r="C67" i="5"/>
  <c r="D67" i="5"/>
  <c r="E67" i="5"/>
  <c r="F67" i="5"/>
  <c r="G67" i="5"/>
  <c r="H67" i="5"/>
  <c r="I67" i="5"/>
  <c r="J67" i="5"/>
  <c r="K67" i="5"/>
  <c r="L67" i="5"/>
  <c r="M67" i="5"/>
  <c r="N67" i="5"/>
  <c r="O67" i="5"/>
  <c r="P67" i="5"/>
  <c r="Q67" i="5"/>
  <c r="R67" i="5"/>
  <c r="C68" i="5"/>
  <c r="D68" i="5"/>
  <c r="E68" i="5"/>
  <c r="F68" i="5"/>
  <c r="G68" i="5"/>
  <c r="H68" i="5"/>
  <c r="I68" i="5"/>
  <c r="J68" i="5"/>
  <c r="K68" i="5"/>
  <c r="L68" i="5"/>
  <c r="M68" i="5"/>
  <c r="N68" i="5"/>
  <c r="O68" i="5"/>
  <c r="P68" i="5"/>
  <c r="Q68" i="5"/>
  <c r="R68" i="5"/>
  <c r="C69" i="5"/>
  <c r="D69" i="5"/>
  <c r="E69" i="5"/>
  <c r="F69" i="5"/>
  <c r="G69" i="5"/>
  <c r="H69" i="5"/>
  <c r="I69" i="5"/>
  <c r="J69" i="5"/>
  <c r="K69" i="5"/>
  <c r="L69" i="5"/>
  <c r="M69" i="5"/>
  <c r="N69" i="5"/>
  <c r="O69" i="5"/>
  <c r="P69" i="5"/>
  <c r="Q69" i="5"/>
  <c r="R69" i="5"/>
  <c r="C70" i="5"/>
  <c r="D70" i="5"/>
  <c r="E70" i="5"/>
  <c r="F70" i="5"/>
  <c r="G70" i="5"/>
  <c r="H70" i="5"/>
  <c r="I70" i="5"/>
  <c r="J70" i="5"/>
  <c r="K70" i="5"/>
  <c r="L70" i="5"/>
  <c r="M70" i="5"/>
  <c r="N70" i="5"/>
  <c r="O70" i="5"/>
  <c r="P70" i="5"/>
  <c r="Q70" i="5"/>
  <c r="R70" i="5"/>
  <c r="C71" i="5"/>
  <c r="D71" i="5"/>
  <c r="E71" i="5"/>
  <c r="F71" i="5"/>
  <c r="G71" i="5"/>
  <c r="H71" i="5"/>
  <c r="I71" i="5"/>
  <c r="J71" i="5"/>
  <c r="K71" i="5"/>
  <c r="L71" i="5"/>
  <c r="M71" i="5"/>
  <c r="N71" i="5"/>
  <c r="O71" i="5"/>
  <c r="P71" i="5"/>
  <c r="Q71" i="5"/>
  <c r="R71" i="5"/>
  <c r="C72" i="5"/>
  <c r="D72" i="5"/>
  <c r="E72" i="5"/>
  <c r="F72" i="5"/>
  <c r="G72" i="5"/>
  <c r="H72" i="5"/>
  <c r="I72" i="5"/>
  <c r="J72" i="5"/>
  <c r="K72" i="5"/>
  <c r="L72" i="5"/>
  <c r="M72" i="5"/>
  <c r="N72" i="5"/>
  <c r="O72" i="5"/>
  <c r="P72" i="5"/>
  <c r="Q72" i="5"/>
  <c r="R72" i="5"/>
  <c r="C73" i="5"/>
  <c r="D73" i="5"/>
  <c r="E73" i="5"/>
  <c r="F73" i="5"/>
  <c r="L17" i="1" s="1"/>
  <c r="M17" i="1" s="1"/>
  <c r="G73" i="5"/>
  <c r="H73" i="5"/>
  <c r="I73" i="5"/>
  <c r="J73" i="5"/>
  <c r="K73" i="5"/>
  <c r="L73" i="5"/>
  <c r="M73" i="5"/>
  <c r="N73" i="5"/>
  <c r="O73" i="5"/>
  <c r="P73" i="5"/>
  <c r="Q73" i="5"/>
  <c r="R73" i="5"/>
  <c r="C74" i="5"/>
  <c r="D74" i="5"/>
  <c r="E74" i="5"/>
  <c r="F74" i="5"/>
  <c r="G74" i="5"/>
  <c r="H74" i="5"/>
  <c r="I74" i="5"/>
  <c r="J74" i="5"/>
  <c r="K74" i="5"/>
  <c r="L74" i="5"/>
  <c r="M74" i="5"/>
  <c r="N74" i="5"/>
  <c r="O74" i="5"/>
  <c r="P74" i="5"/>
  <c r="Q74" i="5"/>
  <c r="R74" i="5"/>
  <c r="C75" i="5"/>
  <c r="D75" i="5"/>
  <c r="E75" i="5"/>
  <c r="F75" i="5"/>
  <c r="G75" i="5"/>
  <c r="H75" i="5"/>
  <c r="I75" i="5"/>
  <c r="J75" i="5"/>
  <c r="K75" i="5"/>
  <c r="L75" i="5"/>
  <c r="M75" i="5"/>
  <c r="N75" i="5"/>
  <c r="O75" i="5"/>
  <c r="P75" i="5"/>
  <c r="Q75" i="5"/>
  <c r="R75" i="5"/>
  <c r="C76" i="5"/>
  <c r="D76" i="5"/>
  <c r="E76" i="5"/>
  <c r="F76" i="5"/>
  <c r="G76" i="5"/>
  <c r="H76" i="5"/>
  <c r="I76" i="5"/>
  <c r="J76" i="5"/>
  <c r="K76" i="5"/>
  <c r="L76" i="5"/>
  <c r="M76" i="5"/>
  <c r="N76" i="5"/>
  <c r="O76" i="5"/>
  <c r="P76" i="5"/>
  <c r="Q76" i="5"/>
  <c r="R76" i="5"/>
  <c r="C77" i="5"/>
  <c r="D77" i="5"/>
  <c r="E77" i="5"/>
  <c r="F77" i="5"/>
  <c r="G77" i="5"/>
  <c r="H77" i="5"/>
  <c r="I77" i="5"/>
  <c r="J77" i="5"/>
  <c r="K77" i="5"/>
  <c r="L77" i="5"/>
  <c r="M77" i="5"/>
  <c r="N77" i="5"/>
  <c r="O77" i="5"/>
  <c r="P77" i="5"/>
  <c r="Q77" i="5"/>
  <c r="R77" i="5"/>
  <c r="C78" i="5"/>
  <c r="D78" i="5"/>
  <c r="E78" i="5"/>
  <c r="F78" i="5"/>
  <c r="G78" i="5"/>
  <c r="H78" i="5"/>
  <c r="I78" i="5"/>
  <c r="J78" i="5"/>
  <c r="K78" i="5"/>
  <c r="L78" i="5"/>
  <c r="M78" i="5"/>
  <c r="N78" i="5"/>
  <c r="O78" i="5"/>
  <c r="P78" i="5"/>
  <c r="Q78" i="5"/>
  <c r="R78" i="5"/>
  <c r="C79" i="5"/>
  <c r="D79" i="5"/>
  <c r="E79" i="5"/>
  <c r="F79" i="5"/>
  <c r="G79" i="5"/>
  <c r="H79" i="5"/>
  <c r="I79" i="5"/>
  <c r="J79" i="5"/>
  <c r="K79" i="5"/>
  <c r="L79" i="5"/>
  <c r="M79" i="5"/>
  <c r="N79" i="5"/>
  <c r="O79" i="5"/>
  <c r="P79" i="5"/>
  <c r="Q79" i="5"/>
  <c r="R79" i="5"/>
  <c r="C80" i="5"/>
  <c r="D80" i="5"/>
  <c r="E80" i="5"/>
  <c r="F80" i="5"/>
  <c r="G80" i="5"/>
  <c r="H80" i="5"/>
  <c r="I80" i="5"/>
  <c r="J80" i="5"/>
  <c r="K80" i="5"/>
  <c r="L80" i="5"/>
  <c r="M80" i="5"/>
  <c r="N80" i="5"/>
  <c r="O80" i="5"/>
  <c r="P80" i="5"/>
  <c r="Q80" i="5"/>
  <c r="R80" i="5"/>
  <c r="C81" i="5"/>
  <c r="D81" i="5"/>
  <c r="E81" i="5"/>
  <c r="F81" i="5"/>
  <c r="G81" i="5"/>
  <c r="H81" i="5"/>
  <c r="I81" i="5"/>
  <c r="J81" i="5"/>
  <c r="K81" i="5"/>
  <c r="L81" i="5"/>
  <c r="M81" i="5"/>
  <c r="N81" i="5"/>
  <c r="O81" i="5"/>
  <c r="P81" i="5"/>
  <c r="Q81" i="5"/>
  <c r="R81" i="5"/>
  <c r="C82" i="5"/>
  <c r="D82" i="5"/>
  <c r="E82" i="5"/>
  <c r="F82" i="5"/>
  <c r="G82" i="5"/>
  <c r="H82" i="5"/>
  <c r="I82" i="5"/>
  <c r="J82" i="5"/>
  <c r="K82" i="5"/>
  <c r="L82" i="5"/>
  <c r="M82" i="5"/>
  <c r="N82" i="5"/>
  <c r="O82" i="5"/>
  <c r="P82" i="5"/>
  <c r="Q82" i="5"/>
  <c r="R82" i="5"/>
  <c r="C83" i="5"/>
  <c r="D83" i="5"/>
  <c r="E83" i="5"/>
  <c r="F83" i="5"/>
  <c r="G83" i="5"/>
  <c r="H83" i="5"/>
  <c r="I83" i="5"/>
  <c r="J83" i="5"/>
  <c r="K83" i="5"/>
  <c r="L83" i="5"/>
  <c r="M83" i="5"/>
  <c r="N83" i="5"/>
  <c r="O83" i="5"/>
  <c r="P83" i="5"/>
  <c r="Q83" i="5"/>
  <c r="R83" i="5"/>
  <c r="C84" i="5"/>
  <c r="D84" i="5"/>
  <c r="E84" i="5"/>
  <c r="F84" i="5"/>
  <c r="G84" i="5"/>
  <c r="H84" i="5"/>
  <c r="I84" i="5"/>
  <c r="J84" i="5"/>
  <c r="K84" i="5"/>
  <c r="L84" i="5"/>
  <c r="M84" i="5"/>
  <c r="N84" i="5"/>
  <c r="O84" i="5"/>
  <c r="P84" i="5"/>
  <c r="Q84" i="5"/>
  <c r="R84" i="5"/>
  <c r="C85" i="5"/>
  <c r="D85" i="5"/>
  <c r="E85" i="5"/>
  <c r="F85" i="5"/>
  <c r="G85" i="5"/>
  <c r="H85" i="5"/>
  <c r="I85" i="5"/>
  <c r="J85" i="5"/>
  <c r="K85" i="5"/>
  <c r="L85" i="5"/>
  <c r="M85" i="5"/>
  <c r="N85" i="5"/>
  <c r="O85" i="5"/>
  <c r="P85" i="5"/>
  <c r="Q85" i="5"/>
  <c r="R85" i="5"/>
  <c r="C86" i="5"/>
  <c r="D86" i="5"/>
  <c r="E86" i="5"/>
  <c r="F86" i="5"/>
  <c r="G86" i="5"/>
  <c r="H86" i="5"/>
  <c r="I86" i="5"/>
  <c r="J86" i="5"/>
  <c r="K86" i="5"/>
  <c r="L86" i="5"/>
  <c r="M86" i="5"/>
  <c r="N86" i="5"/>
  <c r="O86" i="5"/>
  <c r="P86" i="5"/>
  <c r="Q86" i="5"/>
  <c r="R86" i="5"/>
  <c r="C87" i="5"/>
  <c r="D87" i="5"/>
  <c r="E87" i="5"/>
  <c r="F87" i="5"/>
  <c r="G87" i="5"/>
  <c r="H87" i="5"/>
  <c r="I87" i="5"/>
  <c r="J87" i="5"/>
  <c r="K87" i="5"/>
  <c r="L87" i="5"/>
  <c r="M87" i="5"/>
  <c r="N87" i="5"/>
  <c r="O87" i="5"/>
  <c r="P87" i="5"/>
  <c r="Q87" i="5"/>
  <c r="R87" i="5"/>
  <c r="C88" i="5"/>
  <c r="D88" i="5"/>
  <c r="E88" i="5"/>
  <c r="F88" i="5"/>
  <c r="G88" i="5"/>
  <c r="H88" i="5"/>
  <c r="I88" i="5"/>
  <c r="J88" i="5"/>
  <c r="K88" i="5"/>
  <c r="L88" i="5"/>
  <c r="M88" i="5"/>
  <c r="N88" i="5"/>
  <c r="O88" i="5"/>
  <c r="P88" i="5"/>
  <c r="Q88" i="5"/>
  <c r="R88" i="5"/>
  <c r="C89" i="5"/>
  <c r="D89" i="5"/>
  <c r="E89" i="5"/>
  <c r="F89" i="5"/>
  <c r="G89" i="5"/>
  <c r="H89" i="5"/>
  <c r="I89" i="5"/>
  <c r="J89" i="5"/>
  <c r="K89" i="5"/>
  <c r="L89" i="5"/>
  <c r="M89" i="5"/>
  <c r="N89" i="5"/>
  <c r="O89" i="5"/>
  <c r="P89" i="5"/>
  <c r="Q89" i="5"/>
  <c r="R89" i="5"/>
  <c r="C90" i="5"/>
  <c r="D90" i="5"/>
  <c r="E90" i="5"/>
  <c r="F90" i="5"/>
  <c r="G90" i="5"/>
  <c r="H90" i="5"/>
  <c r="I90" i="5"/>
  <c r="J90" i="5"/>
  <c r="K90" i="5"/>
  <c r="L90" i="5"/>
  <c r="M90" i="5"/>
  <c r="N90" i="5"/>
  <c r="O90" i="5"/>
  <c r="P90" i="5"/>
  <c r="Q90" i="5"/>
  <c r="R90" i="5"/>
  <c r="C91" i="5"/>
  <c r="D91" i="5"/>
  <c r="E91" i="5"/>
  <c r="F91" i="5"/>
  <c r="G91" i="5"/>
  <c r="H91" i="5"/>
  <c r="I91" i="5"/>
  <c r="J91" i="5"/>
  <c r="K91" i="5"/>
  <c r="L91" i="5"/>
  <c r="M91" i="5"/>
  <c r="N91" i="5"/>
  <c r="O91" i="5"/>
  <c r="P91" i="5"/>
  <c r="Q91" i="5"/>
  <c r="R91" i="5"/>
  <c r="C92" i="5"/>
  <c r="D92" i="5"/>
  <c r="E92" i="5"/>
  <c r="F92" i="5"/>
  <c r="G92" i="5"/>
  <c r="H92" i="5"/>
  <c r="I92" i="5"/>
  <c r="J92" i="5"/>
  <c r="K92" i="5"/>
  <c r="L92" i="5"/>
  <c r="M92" i="5"/>
  <c r="N92" i="5"/>
  <c r="O92" i="5"/>
  <c r="P92" i="5"/>
  <c r="Q92" i="5"/>
  <c r="R92" i="5"/>
  <c r="C93" i="5"/>
  <c r="D93" i="5"/>
  <c r="E93" i="5"/>
  <c r="F93" i="5"/>
  <c r="G93" i="5"/>
  <c r="H93" i="5"/>
  <c r="I93" i="5"/>
  <c r="J93" i="5"/>
  <c r="K93" i="5"/>
  <c r="L93" i="5"/>
  <c r="M93" i="5"/>
  <c r="N93" i="5"/>
  <c r="O93" i="5"/>
  <c r="P93" i="5"/>
  <c r="Q93" i="5"/>
  <c r="R93" i="5"/>
  <c r="C94" i="5"/>
  <c r="D94" i="5"/>
  <c r="E94" i="5"/>
  <c r="F94" i="5"/>
  <c r="G94" i="5"/>
  <c r="H94" i="5"/>
  <c r="I94" i="5"/>
  <c r="J94" i="5"/>
  <c r="K94" i="5"/>
  <c r="L94" i="5"/>
  <c r="M94" i="5"/>
  <c r="N94" i="5"/>
  <c r="O94" i="5"/>
  <c r="P94" i="5"/>
  <c r="Q94" i="5"/>
  <c r="R94" i="5"/>
  <c r="C95" i="5"/>
  <c r="D95" i="5"/>
  <c r="E95" i="5"/>
  <c r="F95" i="5"/>
  <c r="G95" i="5"/>
  <c r="H95" i="5"/>
  <c r="I95" i="5"/>
  <c r="J95" i="5"/>
  <c r="K95" i="5"/>
  <c r="L95" i="5"/>
  <c r="M95" i="5"/>
  <c r="N95" i="5"/>
  <c r="O95" i="5"/>
  <c r="P95" i="5"/>
  <c r="Q95" i="5"/>
  <c r="R95" i="5"/>
  <c r="C96" i="5"/>
  <c r="D96" i="5"/>
  <c r="E96" i="5"/>
  <c r="F96" i="5"/>
  <c r="G96" i="5"/>
  <c r="H96" i="5"/>
  <c r="I96" i="5"/>
  <c r="J96" i="5"/>
  <c r="K96" i="5"/>
  <c r="L96" i="5"/>
  <c r="M96" i="5"/>
  <c r="N96" i="5"/>
  <c r="O96" i="5"/>
  <c r="P96" i="5"/>
  <c r="Q96" i="5"/>
  <c r="R96" i="5"/>
  <c r="C97" i="5"/>
  <c r="D97" i="5"/>
  <c r="E97" i="5"/>
  <c r="F97" i="5"/>
  <c r="G97" i="5"/>
  <c r="H97" i="5"/>
  <c r="I97" i="5"/>
  <c r="J97" i="5"/>
  <c r="K97" i="5"/>
  <c r="L97" i="5"/>
  <c r="M97" i="5"/>
  <c r="N97" i="5"/>
  <c r="O97" i="5"/>
  <c r="P97" i="5"/>
  <c r="Q97" i="5"/>
  <c r="R97" i="5"/>
  <c r="C98" i="5"/>
  <c r="D98" i="5"/>
  <c r="E98" i="5"/>
  <c r="F98" i="5"/>
  <c r="G98" i="5"/>
  <c r="H98" i="5"/>
  <c r="I98" i="5"/>
  <c r="J98" i="5"/>
  <c r="K98" i="5"/>
  <c r="L98" i="5"/>
  <c r="M98" i="5"/>
  <c r="N98" i="5"/>
  <c r="O98" i="5"/>
  <c r="P98" i="5"/>
  <c r="Q98" i="5"/>
  <c r="R98" i="5"/>
  <c r="C99" i="5"/>
  <c r="D99" i="5"/>
  <c r="E99" i="5"/>
  <c r="F99" i="5"/>
  <c r="G99" i="5"/>
  <c r="H99" i="5"/>
  <c r="I99" i="5"/>
  <c r="J99" i="5"/>
  <c r="K99" i="5"/>
  <c r="L99" i="5"/>
  <c r="M99" i="5"/>
  <c r="N99" i="5"/>
  <c r="O99" i="5"/>
  <c r="P99" i="5"/>
  <c r="Q99" i="5"/>
  <c r="R99" i="5"/>
  <c r="C100" i="5"/>
  <c r="D100" i="5"/>
  <c r="E100" i="5"/>
  <c r="F100" i="5"/>
  <c r="G100" i="5"/>
  <c r="H100" i="5"/>
  <c r="I100" i="5"/>
  <c r="J100" i="5"/>
  <c r="K100" i="5"/>
  <c r="L100" i="5"/>
  <c r="M100" i="5"/>
  <c r="N100" i="5"/>
  <c r="O100" i="5"/>
  <c r="P100" i="5"/>
  <c r="Q100" i="5"/>
  <c r="R100" i="5"/>
  <c r="C101" i="5"/>
  <c r="D101" i="5"/>
  <c r="E101" i="5"/>
  <c r="F101" i="5"/>
  <c r="G101" i="5"/>
  <c r="H101" i="5"/>
  <c r="I101" i="5"/>
  <c r="J101" i="5"/>
  <c r="K101" i="5"/>
  <c r="L101" i="5"/>
  <c r="M101" i="5"/>
  <c r="N101" i="5"/>
  <c r="O101" i="5"/>
  <c r="P101" i="5"/>
  <c r="Q101" i="5"/>
  <c r="R101" i="5"/>
  <c r="C102" i="5"/>
  <c r="D102" i="5"/>
  <c r="E102" i="5"/>
  <c r="F102" i="5"/>
  <c r="G102" i="5"/>
  <c r="H102" i="5"/>
  <c r="I102" i="5"/>
  <c r="J102" i="5"/>
  <c r="K102" i="5"/>
  <c r="L102" i="5"/>
  <c r="M102" i="5"/>
  <c r="N102" i="5"/>
  <c r="O102" i="5"/>
  <c r="P102" i="5"/>
  <c r="Q102" i="5"/>
  <c r="R102" i="5"/>
  <c r="C103" i="5"/>
  <c r="D103" i="5"/>
  <c r="E103" i="5"/>
  <c r="F103" i="5"/>
  <c r="G103" i="5"/>
  <c r="H103" i="5"/>
  <c r="I103" i="5"/>
  <c r="J103" i="5"/>
  <c r="K103" i="5"/>
  <c r="L103" i="5"/>
  <c r="M103" i="5"/>
  <c r="N103" i="5"/>
  <c r="O103" i="5"/>
  <c r="P103" i="5"/>
  <c r="Q103" i="5"/>
  <c r="R103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L22" i="1" s="1"/>
  <c r="M22" i="1" s="1"/>
  <c r="B99" i="5"/>
  <c r="B100" i="5"/>
  <c r="B101" i="5"/>
  <c r="B102" i="5"/>
  <c r="B103" i="5"/>
  <c r="B5" i="5"/>
  <c r="C14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C16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C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C21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C24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C26" i="3"/>
  <c r="D26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R26" i="3"/>
  <c r="C27" i="3"/>
  <c r="D27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C28" i="3"/>
  <c r="D28" i="3"/>
  <c r="E28" i="3"/>
  <c r="F28" i="3"/>
  <c r="G28" i="3"/>
  <c r="H28" i="3"/>
  <c r="I28" i="3"/>
  <c r="J28" i="3"/>
  <c r="K28" i="3"/>
  <c r="L28" i="3"/>
  <c r="M28" i="3"/>
  <c r="N28" i="3"/>
  <c r="O28" i="3"/>
  <c r="P28" i="3"/>
  <c r="Q28" i="3"/>
  <c r="R28" i="3"/>
  <c r="C29" i="3"/>
  <c r="D29" i="3"/>
  <c r="E29" i="3"/>
  <c r="F29" i="3"/>
  <c r="G29" i="3"/>
  <c r="H29" i="3"/>
  <c r="I29" i="3"/>
  <c r="J29" i="3"/>
  <c r="K29" i="3"/>
  <c r="L29" i="3"/>
  <c r="M29" i="3"/>
  <c r="N29" i="3"/>
  <c r="O29" i="3"/>
  <c r="P29" i="3"/>
  <c r="Q29" i="3"/>
  <c r="R29" i="3"/>
  <c r="C30" i="3"/>
  <c r="D30" i="3"/>
  <c r="E30" i="3"/>
  <c r="F30" i="3"/>
  <c r="G30" i="3"/>
  <c r="H30" i="3"/>
  <c r="I30" i="3"/>
  <c r="J30" i="3"/>
  <c r="K30" i="3"/>
  <c r="L30" i="3"/>
  <c r="M30" i="3"/>
  <c r="N30" i="3"/>
  <c r="O30" i="3"/>
  <c r="P30" i="3"/>
  <c r="Q30" i="3"/>
  <c r="R30" i="3"/>
  <c r="C31" i="3"/>
  <c r="D31" i="3"/>
  <c r="E31" i="3"/>
  <c r="F31" i="3"/>
  <c r="G31" i="3"/>
  <c r="H31" i="3"/>
  <c r="I31" i="3"/>
  <c r="J31" i="3"/>
  <c r="K31" i="3"/>
  <c r="L31" i="3"/>
  <c r="M31" i="3"/>
  <c r="N31" i="3"/>
  <c r="O31" i="3"/>
  <c r="P31" i="3"/>
  <c r="Q31" i="3"/>
  <c r="R31" i="3"/>
  <c r="C32" i="3"/>
  <c r="D32" i="3"/>
  <c r="E32" i="3"/>
  <c r="F32" i="3"/>
  <c r="G32" i="3"/>
  <c r="H32" i="3"/>
  <c r="I32" i="3"/>
  <c r="J32" i="3"/>
  <c r="K32" i="3"/>
  <c r="L32" i="3"/>
  <c r="M32" i="3"/>
  <c r="N32" i="3"/>
  <c r="O32" i="3"/>
  <c r="P32" i="3"/>
  <c r="Q32" i="3"/>
  <c r="R32" i="3"/>
  <c r="C33" i="3"/>
  <c r="D33" i="3"/>
  <c r="E33" i="3"/>
  <c r="F33" i="3"/>
  <c r="G33" i="3"/>
  <c r="H33" i="3"/>
  <c r="I33" i="3"/>
  <c r="J33" i="3"/>
  <c r="K33" i="3"/>
  <c r="L33" i="3"/>
  <c r="M33" i="3"/>
  <c r="N33" i="3"/>
  <c r="O33" i="3"/>
  <c r="P33" i="3"/>
  <c r="Q33" i="3"/>
  <c r="R33" i="3"/>
  <c r="C34" i="3"/>
  <c r="D34" i="3"/>
  <c r="E34" i="3"/>
  <c r="F34" i="3"/>
  <c r="G34" i="3"/>
  <c r="H34" i="3"/>
  <c r="I34" i="3"/>
  <c r="J34" i="3"/>
  <c r="K34" i="3"/>
  <c r="L34" i="3"/>
  <c r="M34" i="3"/>
  <c r="N34" i="3"/>
  <c r="O34" i="3"/>
  <c r="P34" i="3"/>
  <c r="Q34" i="3"/>
  <c r="R34" i="3"/>
  <c r="C35" i="3"/>
  <c r="D35" i="3"/>
  <c r="E35" i="3"/>
  <c r="F35" i="3"/>
  <c r="G35" i="3"/>
  <c r="H35" i="3"/>
  <c r="I35" i="3"/>
  <c r="J35" i="3"/>
  <c r="K35" i="3"/>
  <c r="L35" i="3"/>
  <c r="M35" i="3"/>
  <c r="N35" i="3"/>
  <c r="O35" i="3"/>
  <c r="P35" i="3"/>
  <c r="Q35" i="3"/>
  <c r="R35" i="3"/>
  <c r="C36" i="3"/>
  <c r="D36" i="3"/>
  <c r="E36" i="3"/>
  <c r="F36" i="3"/>
  <c r="G36" i="3"/>
  <c r="H36" i="3"/>
  <c r="I36" i="3"/>
  <c r="J36" i="3"/>
  <c r="K36" i="3"/>
  <c r="L36" i="3"/>
  <c r="M36" i="3"/>
  <c r="N36" i="3"/>
  <c r="O36" i="3"/>
  <c r="P36" i="3"/>
  <c r="Q36" i="3"/>
  <c r="R36" i="3"/>
  <c r="C37" i="3"/>
  <c r="D37" i="3"/>
  <c r="E37" i="3"/>
  <c r="F37" i="3"/>
  <c r="G37" i="3"/>
  <c r="H37" i="3"/>
  <c r="I37" i="3"/>
  <c r="J37" i="3"/>
  <c r="K37" i="3"/>
  <c r="L37" i="3"/>
  <c r="M37" i="3"/>
  <c r="N37" i="3"/>
  <c r="O37" i="3"/>
  <c r="P37" i="3"/>
  <c r="Q37" i="3"/>
  <c r="R37" i="3"/>
  <c r="C38" i="3"/>
  <c r="D38" i="3"/>
  <c r="E38" i="3"/>
  <c r="F38" i="3"/>
  <c r="G38" i="3"/>
  <c r="H38" i="3"/>
  <c r="I38" i="3"/>
  <c r="J38" i="3"/>
  <c r="K38" i="3"/>
  <c r="L38" i="3"/>
  <c r="M38" i="3"/>
  <c r="N38" i="3"/>
  <c r="O38" i="3"/>
  <c r="P38" i="3"/>
  <c r="Q38" i="3"/>
  <c r="R38" i="3"/>
  <c r="C39" i="3"/>
  <c r="D39" i="3"/>
  <c r="E39" i="3"/>
  <c r="F39" i="3"/>
  <c r="G39" i="3"/>
  <c r="H39" i="3"/>
  <c r="I39" i="3"/>
  <c r="J39" i="3"/>
  <c r="K39" i="3"/>
  <c r="L39" i="3"/>
  <c r="M39" i="3"/>
  <c r="N39" i="3"/>
  <c r="O39" i="3"/>
  <c r="P39" i="3"/>
  <c r="Q39" i="3"/>
  <c r="R39" i="3"/>
  <c r="C40" i="3"/>
  <c r="D40" i="3"/>
  <c r="E40" i="3"/>
  <c r="F40" i="3"/>
  <c r="G40" i="3"/>
  <c r="H40" i="3"/>
  <c r="I40" i="3"/>
  <c r="J40" i="3"/>
  <c r="K40" i="3"/>
  <c r="L40" i="3"/>
  <c r="M40" i="3"/>
  <c r="N40" i="3"/>
  <c r="O40" i="3"/>
  <c r="P40" i="3"/>
  <c r="Q40" i="3"/>
  <c r="R40" i="3"/>
  <c r="C41" i="3"/>
  <c r="D41" i="3"/>
  <c r="E41" i="3"/>
  <c r="F41" i="3"/>
  <c r="G41" i="3"/>
  <c r="H41" i="3"/>
  <c r="I41" i="3"/>
  <c r="J41" i="3"/>
  <c r="K41" i="3"/>
  <c r="L41" i="3"/>
  <c r="M41" i="3"/>
  <c r="N41" i="3"/>
  <c r="O41" i="3"/>
  <c r="P41" i="3"/>
  <c r="Q41" i="3"/>
  <c r="R41" i="3"/>
  <c r="C42" i="3"/>
  <c r="D42" i="3"/>
  <c r="E42" i="3"/>
  <c r="F42" i="3"/>
  <c r="G42" i="3"/>
  <c r="H42" i="3"/>
  <c r="I42" i="3"/>
  <c r="J42" i="3"/>
  <c r="K42" i="3"/>
  <c r="L42" i="3"/>
  <c r="M42" i="3"/>
  <c r="N42" i="3"/>
  <c r="O42" i="3"/>
  <c r="P42" i="3"/>
  <c r="Q42" i="3"/>
  <c r="R42" i="3"/>
  <c r="C43" i="3"/>
  <c r="D43" i="3"/>
  <c r="E43" i="3"/>
  <c r="F43" i="3"/>
  <c r="G43" i="3"/>
  <c r="H43" i="3"/>
  <c r="I43" i="3"/>
  <c r="J43" i="3"/>
  <c r="K43" i="3"/>
  <c r="L43" i="3"/>
  <c r="M43" i="3"/>
  <c r="N43" i="3"/>
  <c r="O43" i="3"/>
  <c r="P43" i="3"/>
  <c r="Q43" i="3"/>
  <c r="R43" i="3"/>
  <c r="C44" i="3"/>
  <c r="D44" i="3"/>
  <c r="E44" i="3"/>
  <c r="F44" i="3"/>
  <c r="G44" i="3"/>
  <c r="H44" i="3"/>
  <c r="I44" i="3"/>
  <c r="J44" i="3"/>
  <c r="K44" i="3"/>
  <c r="L44" i="3"/>
  <c r="M44" i="3"/>
  <c r="N44" i="3"/>
  <c r="O44" i="3"/>
  <c r="P44" i="3"/>
  <c r="Q44" i="3"/>
  <c r="R44" i="3"/>
  <c r="C45" i="3"/>
  <c r="D45" i="3"/>
  <c r="E45" i="3"/>
  <c r="F45" i="3"/>
  <c r="G45" i="3"/>
  <c r="H45" i="3"/>
  <c r="I45" i="3"/>
  <c r="J45" i="3"/>
  <c r="K45" i="3"/>
  <c r="L45" i="3"/>
  <c r="M45" i="3"/>
  <c r="N45" i="3"/>
  <c r="O45" i="3"/>
  <c r="P45" i="3"/>
  <c r="Q45" i="3"/>
  <c r="R45" i="3"/>
  <c r="C46" i="3"/>
  <c r="D46" i="3"/>
  <c r="E46" i="3"/>
  <c r="F46" i="3"/>
  <c r="G46" i="3"/>
  <c r="H46" i="3"/>
  <c r="I46" i="3"/>
  <c r="J46" i="3"/>
  <c r="K46" i="3"/>
  <c r="L46" i="3"/>
  <c r="M46" i="3"/>
  <c r="N46" i="3"/>
  <c r="O46" i="3"/>
  <c r="P46" i="3"/>
  <c r="Q46" i="3"/>
  <c r="R46" i="3"/>
  <c r="C47" i="3"/>
  <c r="D47" i="3"/>
  <c r="E47" i="3"/>
  <c r="F47" i="3"/>
  <c r="G47" i="3"/>
  <c r="H47" i="3"/>
  <c r="I47" i="3"/>
  <c r="J47" i="3"/>
  <c r="K47" i="3"/>
  <c r="L47" i="3"/>
  <c r="M47" i="3"/>
  <c r="N47" i="3"/>
  <c r="O47" i="3"/>
  <c r="P47" i="3"/>
  <c r="Q47" i="3"/>
  <c r="R47" i="3"/>
  <c r="C48" i="3"/>
  <c r="D48" i="3"/>
  <c r="E48" i="3"/>
  <c r="F48" i="3"/>
  <c r="G48" i="3"/>
  <c r="H48" i="3"/>
  <c r="I48" i="3"/>
  <c r="J48" i="3"/>
  <c r="K48" i="3"/>
  <c r="L48" i="3"/>
  <c r="M48" i="3"/>
  <c r="N48" i="3"/>
  <c r="O48" i="3"/>
  <c r="P48" i="3"/>
  <c r="Q48" i="3"/>
  <c r="R48" i="3"/>
  <c r="C49" i="3"/>
  <c r="D49" i="3"/>
  <c r="E49" i="3"/>
  <c r="F49" i="3"/>
  <c r="G49" i="3"/>
  <c r="H49" i="3"/>
  <c r="I49" i="3"/>
  <c r="J49" i="3"/>
  <c r="K49" i="3"/>
  <c r="L49" i="3"/>
  <c r="M49" i="3"/>
  <c r="N49" i="3"/>
  <c r="O49" i="3"/>
  <c r="P49" i="3"/>
  <c r="Q49" i="3"/>
  <c r="R49" i="3"/>
  <c r="C50" i="3"/>
  <c r="D50" i="3"/>
  <c r="E50" i="3"/>
  <c r="F50" i="3"/>
  <c r="G50" i="3"/>
  <c r="H50" i="3"/>
  <c r="I50" i="3"/>
  <c r="J50" i="3"/>
  <c r="K50" i="3"/>
  <c r="L50" i="3"/>
  <c r="M50" i="3"/>
  <c r="N50" i="3"/>
  <c r="O50" i="3"/>
  <c r="P50" i="3"/>
  <c r="Q50" i="3"/>
  <c r="R50" i="3"/>
  <c r="C51" i="3"/>
  <c r="D51" i="3"/>
  <c r="E51" i="3"/>
  <c r="F51" i="3"/>
  <c r="G51" i="3"/>
  <c r="H51" i="3"/>
  <c r="I51" i="3"/>
  <c r="J51" i="3"/>
  <c r="K51" i="3"/>
  <c r="L51" i="3"/>
  <c r="M51" i="3"/>
  <c r="N51" i="3"/>
  <c r="O51" i="3"/>
  <c r="P51" i="3"/>
  <c r="Q51" i="3"/>
  <c r="R51" i="3"/>
  <c r="C52" i="3"/>
  <c r="D52" i="3"/>
  <c r="E52" i="3"/>
  <c r="F52" i="3"/>
  <c r="G52" i="3"/>
  <c r="H52" i="3"/>
  <c r="I52" i="3"/>
  <c r="J52" i="3"/>
  <c r="K52" i="3"/>
  <c r="L52" i="3"/>
  <c r="M52" i="3"/>
  <c r="N52" i="3"/>
  <c r="O52" i="3"/>
  <c r="P52" i="3"/>
  <c r="Q52" i="3"/>
  <c r="R52" i="3"/>
  <c r="C53" i="3"/>
  <c r="D53" i="3"/>
  <c r="E53" i="3"/>
  <c r="F53" i="3"/>
  <c r="G53" i="3"/>
  <c r="H53" i="3"/>
  <c r="I53" i="3"/>
  <c r="J53" i="3"/>
  <c r="K53" i="3"/>
  <c r="L53" i="3"/>
  <c r="M53" i="3"/>
  <c r="N53" i="3"/>
  <c r="O53" i="3"/>
  <c r="P53" i="3"/>
  <c r="Q53" i="3"/>
  <c r="R53" i="3"/>
  <c r="C54" i="3"/>
  <c r="D54" i="3"/>
  <c r="E54" i="3"/>
  <c r="F54" i="3"/>
  <c r="G54" i="3"/>
  <c r="H54" i="3"/>
  <c r="I54" i="3"/>
  <c r="J54" i="3"/>
  <c r="K54" i="3"/>
  <c r="L54" i="3"/>
  <c r="M54" i="3"/>
  <c r="N54" i="3"/>
  <c r="O54" i="3"/>
  <c r="P54" i="3"/>
  <c r="Q54" i="3"/>
  <c r="R54" i="3"/>
  <c r="C55" i="3"/>
  <c r="D55" i="3"/>
  <c r="E55" i="3"/>
  <c r="F55" i="3"/>
  <c r="G55" i="3"/>
  <c r="H55" i="3"/>
  <c r="I55" i="3"/>
  <c r="J55" i="3"/>
  <c r="K55" i="3"/>
  <c r="L55" i="3"/>
  <c r="M55" i="3"/>
  <c r="N55" i="3"/>
  <c r="O55" i="3"/>
  <c r="P55" i="3"/>
  <c r="Q55" i="3"/>
  <c r="R55" i="3"/>
  <c r="C56" i="3"/>
  <c r="D56" i="3"/>
  <c r="E56" i="3"/>
  <c r="F56" i="3"/>
  <c r="G56" i="3"/>
  <c r="H56" i="3"/>
  <c r="I56" i="3"/>
  <c r="J56" i="3"/>
  <c r="K56" i="3"/>
  <c r="L56" i="3"/>
  <c r="M56" i="3"/>
  <c r="N56" i="3"/>
  <c r="O56" i="3"/>
  <c r="P56" i="3"/>
  <c r="Q56" i="3"/>
  <c r="R56" i="3"/>
  <c r="C57" i="3"/>
  <c r="D57" i="3"/>
  <c r="E57" i="3"/>
  <c r="F57" i="3"/>
  <c r="G57" i="3"/>
  <c r="H57" i="3"/>
  <c r="I57" i="3"/>
  <c r="J57" i="3"/>
  <c r="K57" i="3"/>
  <c r="L57" i="3"/>
  <c r="M57" i="3"/>
  <c r="N57" i="3"/>
  <c r="O57" i="3"/>
  <c r="P57" i="3"/>
  <c r="Q57" i="3"/>
  <c r="R57" i="3"/>
  <c r="C58" i="3"/>
  <c r="D58" i="3"/>
  <c r="E58" i="3"/>
  <c r="F58" i="3"/>
  <c r="G58" i="3"/>
  <c r="H58" i="3"/>
  <c r="I58" i="3"/>
  <c r="J58" i="3"/>
  <c r="K58" i="3"/>
  <c r="L58" i="3"/>
  <c r="M58" i="3"/>
  <c r="N58" i="3"/>
  <c r="O58" i="3"/>
  <c r="P58" i="3"/>
  <c r="Q58" i="3"/>
  <c r="R58" i="3"/>
  <c r="C59" i="3"/>
  <c r="D59" i="3"/>
  <c r="E59" i="3"/>
  <c r="F59" i="3"/>
  <c r="G59" i="3"/>
  <c r="H59" i="3"/>
  <c r="I59" i="3"/>
  <c r="J59" i="3"/>
  <c r="K59" i="3"/>
  <c r="L59" i="3"/>
  <c r="M59" i="3"/>
  <c r="N59" i="3"/>
  <c r="O59" i="3"/>
  <c r="P59" i="3"/>
  <c r="Q59" i="3"/>
  <c r="R59" i="3"/>
  <c r="C60" i="3"/>
  <c r="D60" i="3"/>
  <c r="E60" i="3"/>
  <c r="F60" i="3"/>
  <c r="G60" i="3"/>
  <c r="H60" i="3"/>
  <c r="I60" i="3"/>
  <c r="J60" i="3"/>
  <c r="K60" i="3"/>
  <c r="L60" i="3"/>
  <c r="M60" i="3"/>
  <c r="N60" i="3"/>
  <c r="O60" i="3"/>
  <c r="P60" i="3"/>
  <c r="Q60" i="3"/>
  <c r="R60" i="3"/>
  <c r="C61" i="3"/>
  <c r="D61" i="3"/>
  <c r="E61" i="3"/>
  <c r="F61" i="3"/>
  <c r="G61" i="3"/>
  <c r="H61" i="3"/>
  <c r="I61" i="3"/>
  <c r="J61" i="3"/>
  <c r="K61" i="3"/>
  <c r="L61" i="3"/>
  <c r="M61" i="3"/>
  <c r="N61" i="3"/>
  <c r="O61" i="3"/>
  <c r="P61" i="3"/>
  <c r="Q61" i="3"/>
  <c r="R61" i="3"/>
  <c r="C62" i="3"/>
  <c r="D62" i="3"/>
  <c r="E62" i="3"/>
  <c r="F62" i="3"/>
  <c r="G62" i="3"/>
  <c r="H62" i="3"/>
  <c r="I62" i="3"/>
  <c r="J62" i="3"/>
  <c r="K62" i="3"/>
  <c r="L62" i="3"/>
  <c r="M62" i="3"/>
  <c r="N62" i="3"/>
  <c r="O62" i="3"/>
  <c r="P62" i="3"/>
  <c r="Q62" i="3"/>
  <c r="R62" i="3"/>
  <c r="C63" i="3"/>
  <c r="D63" i="3"/>
  <c r="E63" i="3"/>
  <c r="F63" i="3"/>
  <c r="G63" i="3"/>
  <c r="H63" i="3"/>
  <c r="I63" i="3"/>
  <c r="J63" i="3"/>
  <c r="K63" i="3"/>
  <c r="L63" i="3"/>
  <c r="M63" i="3"/>
  <c r="N63" i="3"/>
  <c r="O63" i="3"/>
  <c r="P63" i="3"/>
  <c r="Q63" i="3"/>
  <c r="R63" i="3"/>
  <c r="C64" i="3"/>
  <c r="D64" i="3"/>
  <c r="E64" i="3"/>
  <c r="F64" i="3"/>
  <c r="G64" i="3"/>
  <c r="H64" i="3"/>
  <c r="I64" i="3"/>
  <c r="J64" i="3"/>
  <c r="K64" i="3"/>
  <c r="L64" i="3"/>
  <c r="M64" i="3"/>
  <c r="N64" i="3"/>
  <c r="O64" i="3"/>
  <c r="P64" i="3"/>
  <c r="Q64" i="3"/>
  <c r="R64" i="3"/>
  <c r="C65" i="3"/>
  <c r="D65" i="3"/>
  <c r="E65" i="3"/>
  <c r="F65" i="3"/>
  <c r="G65" i="3"/>
  <c r="H65" i="3"/>
  <c r="I65" i="3"/>
  <c r="J65" i="3"/>
  <c r="K65" i="3"/>
  <c r="L65" i="3"/>
  <c r="M65" i="3"/>
  <c r="N65" i="3"/>
  <c r="O65" i="3"/>
  <c r="P65" i="3"/>
  <c r="Q65" i="3"/>
  <c r="R65" i="3"/>
  <c r="C66" i="3"/>
  <c r="D66" i="3"/>
  <c r="E66" i="3"/>
  <c r="F66" i="3"/>
  <c r="G66" i="3"/>
  <c r="H66" i="3"/>
  <c r="I66" i="3"/>
  <c r="J66" i="3"/>
  <c r="K66" i="3"/>
  <c r="L66" i="3"/>
  <c r="M66" i="3"/>
  <c r="N66" i="3"/>
  <c r="O66" i="3"/>
  <c r="P66" i="3"/>
  <c r="Q66" i="3"/>
  <c r="R66" i="3"/>
  <c r="C67" i="3"/>
  <c r="D67" i="3"/>
  <c r="E67" i="3"/>
  <c r="F67" i="3"/>
  <c r="G67" i="3"/>
  <c r="H67" i="3"/>
  <c r="I67" i="3"/>
  <c r="J67" i="3"/>
  <c r="K67" i="3"/>
  <c r="L67" i="3"/>
  <c r="M67" i="3"/>
  <c r="N67" i="3"/>
  <c r="O67" i="3"/>
  <c r="P67" i="3"/>
  <c r="Q67" i="3"/>
  <c r="R67" i="3"/>
  <c r="C68" i="3"/>
  <c r="D68" i="3"/>
  <c r="E68" i="3"/>
  <c r="F68" i="3"/>
  <c r="G68" i="3"/>
  <c r="H68" i="3"/>
  <c r="I68" i="3"/>
  <c r="J68" i="3"/>
  <c r="K68" i="3"/>
  <c r="L68" i="3"/>
  <c r="M68" i="3"/>
  <c r="N68" i="3"/>
  <c r="O68" i="3"/>
  <c r="P68" i="3"/>
  <c r="Q68" i="3"/>
  <c r="R68" i="3"/>
  <c r="C69" i="3"/>
  <c r="D69" i="3"/>
  <c r="E69" i="3"/>
  <c r="F69" i="3"/>
  <c r="G69" i="3"/>
  <c r="H69" i="3"/>
  <c r="I69" i="3"/>
  <c r="J69" i="3"/>
  <c r="K69" i="3"/>
  <c r="L69" i="3"/>
  <c r="M69" i="3"/>
  <c r="N69" i="3"/>
  <c r="O69" i="3"/>
  <c r="P69" i="3"/>
  <c r="Q69" i="3"/>
  <c r="R69" i="3"/>
  <c r="C70" i="3"/>
  <c r="D70" i="3"/>
  <c r="E70" i="3"/>
  <c r="F70" i="3"/>
  <c r="G70" i="3"/>
  <c r="H70" i="3"/>
  <c r="I70" i="3"/>
  <c r="J70" i="3"/>
  <c r="K70" i="3"/>
  <c r="L70" i="3"/>
  <c r="M70" i="3"/>
  <c r="N70" i="3"/>
  <c r="O70" i="3"/>
  <c r="P70" i="3"/>
  <c r="Q70" i="3"/>
  <c r="R70" i="3"/>
  <c r="C71" i="3"/>
  <c r="D71" i="3"/>
  <c r="E71" i="3"/>
  <c r="F71" i="3"/>
  <c r="G71" i="3"/>
  <c r="H71" i="3"/>
  <c r="I71" i="3"/>
  <c r="J71" i="3"/>
  <c r="K71" i="3"/>
  <c r="L71" i="3"/>
  <c r="M71" i="3"/>
  <c r="N71" i="3"/>
  <c r="O71" i="3"/>
  <c r="P71" i="3"/>
  <c r="Q71" i="3"/>
  <c r="R71" i="3"/>
  <c r="C72" i="3"/>
  <c r="D72" i="3"/>
  <c r="E72" i="3"/>
  <c r="F72" i="3"/>
  <c r="G72" i="3"/>
  <c r="H72" i="3"/>
  <c r="I72" i="3"/>
  <c r="J72" i="3"/>
  <c r="K72" i="3"/>
  <c r="L72" i="3"/>
  <c r="M72" i="3"/>
  <c r="N72" i="3"/>
  <c r="O72" i="3"/>
  <c r="P72" i="3"/>
  <c r="Q72" i="3"/>
  <c r="R72" i="3"/>
  <c r="C73" i="3"/>
  <c r="D73" i="3"/>
  <c r="E73" i="3"/>
  <c r="F73" i="3"/>
  <c r="G73" i="3"/>
  <c r="H73" i="3"/>
  <c r="I73" i="3"/>
  <c r="J73" i="3"/>
  <c r="K73" i="3"/>
  <c r="L73" i="3"/>
  <c r="M73" i="3"/>
  <c r="N73" i="3"/>
  <c r="O73" i="3"/>
  <c r="P73" i="3"/>
  <c r="Q73" i="3"/>
  <c r="R73" i="3"/>
  <c r="C74" i="3"/>
  <c r="D74" i="3"/>
  <c r="E74" i="3"/>
  <c r="F74" i="3"/>
  <c r="G74" i="3"/>
  <c r="H74" i="3"/>
  <c r="I74" i="3"/>
  <c r="J74" i="3"/>
  <c r="K74" i="3"/>
  <c r="L74" i="3"/>
  <c r="M74" i="3"/>
  <c r="N74" i="3"/>
  <c r="O74" i="3"/>
  <c r="P74" i="3"/>
  <c r="Q74" i="3"/>
  <c r="R74" i="3"/>
  <c r="C75" i="3"/>
  <c r="D75" i="3"/>
  <c r="E75" i="3"/>
  <c r="F75" i="3"/>
  <c r="G75" i="3"/>
  <c r="H75" i="3"/>
  <c r="I75" i="3"/>
  <c r="J75" i="3"/>
  <c r="K75" i="3"/>
  <c r="L75" i="3"/>
  <c r="M75" i="3"/>
  <c r="N75" i="3"/>
  <c r="O75" i="3"/>
  <c r="P75" i="3"/>
  <c r="Q75" i="3"/>
  <c r="R75" i="3"/>
  <c r="C76" i="3"/>
  <c r="D76" i="3"/>
  <c r="E76" i="3"/>
  <c r="F76" i="3"/>
  <c r="G76" i="3"/>
  <c r="H76" i="3"/>
  <c r="I76" i="3"/>
  <c r="J76" i="3"/>
  <c r="K76" i="3"/>
  <c r="L76" i="3"/>
  <c r="M76" i="3"/>
  <c r="N76" i="3"/>
  <c r="O76" i="3"/>
  <c r="P76" i="3"/>
  <c r="Q76" i="3"/>
  <c r="R76" i="3"/>
  <c r="C77" i="3"/>
  <c r="D77" i="3"/>
  <c r="E77" i="3"/>
  <c r="F77" i="3"/>
  <c r="G77" i="3"/>
  <c r="H77" i="3"/>
  <c r="I77" i="3"/>
  <c r="J77" i="3"/>
  <c r="K77" i="3"/>
  <c r="L77" i="3"/>
  <c r="M77" i="3"/>
  <c r="N77" i="3"/>
  <c r="O77" i="3"/>
  <c r="P77" i="3"/>
  <c r="Q77" i="3"/>
  <c r="R77" i="3"/>
  <c r="C78" i="3"/>
  <c r="D78" i="3"/>
  <c r="E78" i="3"/>
  <c r="F78" i="3"/>
  <c r="G78" i="3"/>
  <c r="H78" i="3"/>
  <c r="I78" i="3"/>
  <c r="J78" i="3"/>
  <c r="K78" i="3"/>
  <c r="L78" i="3"/>
  <c r="M78" i="3"/>
  <c r="N78" i="3"/>
  <c r="O78" i="3"/>
  <c r="P78" i="3"/>
  <c r="Q78" i="3"/>
  <c r="R78" i="3"/>
  <c r="C79" i="3"/>
  <c r="D79" i="3"/>
  <c r="E79" i="3"/>
  <c r="F79" i="3"/>
  <c r="G79" i="3"/>
  <c r="H79" i="3"/>
  <c r="I79" i="3"/>
  <c r="J79" i="3"/>
  <c r="K79" i="3"/>
  <c r="L79" i="3"/>
  <c r="M79" i="3"/>
  <c r="N79" i="3"/>
  <c r="O79" i="3"/>
  <c r="P79" i="3"/>
  <c r="Q79" i="3"/>
  <c r="R79" i="3"/>
  <c r="C80" i="3"/>
  <c r="D80" i="3"/>
  <c r="E80" i="3"/>
  <c r="F80" i="3"/>
  <c r="G80" i="3"/>
  <c r="H80" i="3"/>
  <c r="I80" i="3"/>
  <c r="J80" i="3"/>
  <c r="K80" i="3"/>
  <c r="L80" i="3"/>
  <c r="M80" i="3"/>
  <c r="N80" i="3"/>
  <c r="O80" i="3"/>
  <c r="P80" i="3"/>
  <c r="Q80" i="3"/>
  <c r="R80" i="3"/>
  <c r="C81" i="3"/>
  <c r="D81" i="3"/>
  <c r="E81" i="3"/>
  <c r="F81" i="3"/>
  <c r="G81" i="3"/>
  <c r="H81" i="3"/>
  <c r="I81" i="3"/>
  <c r="J81" i="3"/>
  <c r="K81" i="3"/>
  <c r="L81" i="3"/>
  <c r="M81" i="3"/>
  <c r="N81" i="3"/>
  <c r="O81" i="3"/>
  <c r="P81" i="3"/>
  <c r="Q81" i="3"/>
  <c r="R81" i="3"/>
  <c r="C82" i="3"/>
  <c r="D82" i="3"/>
  <c r="E82" i="3"/>
  <c r="F82" i="3"/>
  <c r="G82" i="3"/>
  <c r="H82" i="3"/>
  <c r="I82" i="3"/>
  <c r="J82" i="3"/>
  <c r="K82" i="3"/>
  <c r="L82" i="3"/>
  <c r="M82" i="3"/>
  <c r="N82" i="3"/>
  <c r="O82" i="3"/>
  <c r="P82" i="3"/>
  <c r="Q82" i="3"/>
  <c r="R82" i="3"/>
  <c r="C83" i="3"/>
  <c r="D83" i="3"/>
  <c r="E83" i="3"/>
  <c r="F83" i="3"/>
  <c r="G83" i="3"/>
  <c r="H83" i="3"/>
  <c r="I83" i="3"/>
  <c r="J83" i="3"/>
  <c r="K83" i="3"/>
  <c r="L83" i="3"/>
  <c r="M83" i="3"/>
  <c r="N83" i="3"/>
  <c r="O83" i="3"/>
  <c r="P83" i="3"/>
  <c r="Q83" i="3"/>
  <c r="R83" i="3"/>
  <c r="C84" i="3"/>
  <c r="D84" i="3"/>
  <c r="E84" i="3"/>
  <c r="F84" i="3"/>
  <c r="G84" i="3"/>
  <c r="H84" i="3"/>
  <c r="I84" i="3"/>
  <c r="J84" i="3"/>
  <c r="K84" i="3"/>
  <c r="L84" i="3"/>
  <c r="M84" i="3"/>
  <c r="N84" i="3"/>
  <c r="O84" i="3"/>
  <c r="P84" i="3"/>
  <c r="Q84" i="3"/>
  <c r="R84" i="3"/>
  <c r="C85" i="3"/>
  <c r="D85" i="3"/>
  <c r="E85" i="3"/>
  <c r="F85" i="3"/>
  <c r="G85" i="3"/>
  <c r="H85" i="3"/>
  <c r="I85" i="3"/>
  <c r="J85" i="3"/>
  <c r="K85" i="3"/>
  <c r="L85" i="3"/>
  <c r="M85" i="3"/>
  <c r="N85" i="3"/>
  <c r="O85" i="3"/>
  <c r="P85" i="3"/>
  <c r="Q85" i="3"/>
  <c r="R85" i="3"/>
  <c r="C86" i="3"/>
  <c r="D86" i="3"/>
  <c r="E86" i="3"/>
  <c r="F86" i="3"/>
  <c r="G86" i="3"/>
  <c r="H86" i="3"/>
  <c r="I86" i="3"/>
  <c r="J86" i="3"/>
  <c r="K86" i="3"/>
  <c r="L86" i="3"/>
  <c r="M86" i="3"/>
  <c r="N86" i="3"/>
  <c r="O86" i="3"/>
  <c r="P86" i="3"/>
  <c r="Q86" i="3"/>
  <c r="R86" i="3"/>
  <c r="C87" i="3"/>
  <c r="D87" i="3"/>
  <c r="E87" i="3"/>
  <c r="F87" i="3"/>
  <c r="G87" i="3"/>
  <c r="H87" i="3"/>
  <c r="I87" i="3"/>
  <c r="J87" i="3"/>
  <c r="K87" i="3"/>
  <c r="L87" i="3"/>
  <c r="M87" i="3"/>
  <c r="N87" i="3"/>
  <c r="O87" i="3"/>
  <c r="P87" i="3"/>
  <c r="Q87" i="3"/>
  <c r="R87" i="3"/>
  <c r="C88" i="3"/>
  <c r="D88" i="3"/>
  <c r="E88" i="3"/>
  <c r="F88" i="3"/>
  <c r="G88" i="3"/>
  <c r="H88" i="3"/>
  <c r="I88" i="3"/>
  <c r="J88" i="3"/>
  <c r="K88" i="3"/>
  <c r="L88" i="3"/>
  <c r="M88" i="3"/>
  <c r="N88" i="3"/>
  <c r="O88" i="3"/>
  <c r="P88" i="3"/>
  <c r="Q88" i="3"/>
  <c r="R88" i="3"/>
  <c r="C89" i="3"/>
  <c r="D89" i="3"/>
  <c r="E89" i="3"/>
  <c r="F89" i="3"/>
  <c r="G89" i="3"/>
  <c r="H89" i="3"/>
  <c r="I89" i="3"/>
  <c r="J89" i="3"/>
  <c r="K89" i="3"/>
  <c r="L89" i="3"/>
  <c r="M89" i="3"/>
  <c r="N89" i="3"/>
  <c r="O89" i="3"/>
  <c r="P89" i="3"/>
  <c r="Q89" i="3"/>
  <c r="R89" i="3"/>
  <c r="C90" i="3"/>
  <c r="D90" i="3"/>
  <c r="E90" i="3"/>
  <c r="F90" i="3"/>
  <c r="G90" i="3"/>
  <c r="H90" i="3"/>
  <c r="I90" i="3"/>
  <c r="J90" i="3"/>
  <c r="K90" i="3"/>
  <c r="L90" i="3"/>
  <c r="M90" i="3"/>
  <c r="N90" i="3"/>
  <c r="O90" i="3"/>
  <c r="P90" i="3"/>
  <c r="Q90" i="3"/>
  <c r="R90" i="3"/>
  <c r="C91" i="3"/>
  <c r="D91" i="3"/>
  <c r="E91" i="3"/>
  <c r="F91" i="3"/>
  <c r="G91" i="3"/>
  <c r="H91" i="3"/>
  <c r="I91" i="3"/>
  <c r="J91" i="3"/>
  <c r="K91" i="3"/>
  <c r="L91" i="3"/>
  <c r="M91" i="3"/>
  <c r="N91" i="3"/>
  <c r="O91" i="3"/>
  <c r="P91" i="3"/>
  <c r="Q91" i="3"/>
  <c r="R91" i="3"/>
  <c r="C92" i="3"/>
  <c r="D92" i="3"/>
  <c r="E92" i="3"/>
  <c r="F92" i="3"/>
  <c r="G92" i="3"/>
  <c r="H92" i="3"/>
  <c r="I92" i="3"/>
  <c r="J92" i="3"/>
  <c r="K92" i="3"/>
  <c r="L92" i="3"/>
  <c r="M92" i="3"/>
  <c r="N92" i="3"/>
  <c r="O92" i="3"/>
  <c r="P92" i="3"/>
  <c r="Q92" i="3"/>
  <c r="R92" i="3"/>
  <c r="C93" i="3"/>
  <c r="D93" i="3"/>
  <c r="E93" i="3"/>
  <c r="F93" i="3"/>
  <c r="G93" i="3"/>
  <c r="H93" i="3"/>
  <c r="I93" i="3"/>
  <c r="J93" i="3"/>
  <c r="K93" i="3"/>
  <c r="L93" i="3"/>
  <c r="M93" i="3"/>
  <c r="N93" i="3"/>
  <c r="O93" i="3"/>
  <c r="P93" i="3"/>
  <c r="Q93" i="3"/>
  <c r="R93" i="3"/>
  <c r="C94" i="3"/>
  <c r="D94" i="3"/>
  <c r="E94" i="3"/>
  <c r="F94" i="3"/>
  <c r="G94" i="3"/>
  <c r="H94" i="3"/>
  <c r="I94" i="3"/>
  <c r="J94" i="3"/>
  <c r="K94" i="3"/>
  <c r="L94" i="3"/>
  <c r="M94" i="3"/>
  <c r="N94" i="3"/>
  <c r="O94" i="3"/>
  <c r="P94" i="3"/>
  <c r="Q94" i="3"/>
  <c r="R94" i="3"/>
  <c r="C95" i="3"/>
  <c r="D95" i="3"/>
  <c r="E95" i="3"/>
  <c r="F95" i="3"/>
  <c r="G95" i="3"/>
  <c r="H95" i="3"/>
  <c r="I95" i="3"/>
  <c r="J95" i="3"/>
  <c r="K95" i="3"/>
  <c r="L95" i="3"/>
  <c r="M95" i="3"/>
  <c r="N95" i="3"/>
  <c r="O95" i="3"/>
  <c r="P95" i="3"/>
  <c r="Q95" i="3"/>
  <c r="R95" i="3"/>
  <c r="C96" i="3"/>
  <c r="D96" i="3"/>
  <c r="E96" i="3"/>
  <c r="F96" i="3"/>
  <c r="G96" i="3"/>
  <c r="H96" i="3"/>
  <c r="I96" i="3"/>
  <c r="J96" i="3"/>
  <c r="K96" i="3"/>
  <c r="L96" i="3"/>
  <c r="M96" i="3"/>
  <c r="N96" i="3"/>
  <c r="O96" i="3"/>
  <c r="P96" i="3"/>
  <c r="Q96" i="3"/>
  <c r="R96" i="3"/>
  <c r="C97" i="3"/>
  <c r="D97" i="3"/>
  <c r="E97" i="3"/>
  <c r="F97" i="3"/>
  <c r="G97" i="3"/>
  <c r="H97" i="3"/>
  <c r="I97" i="3"/>
  <c r="J97" i="3"/>
  <c r="K97" i="3"/>
  <c r="L97" i="3"/>
  <c r="M97" i="3"/>
  <c r="N97" i="3"/>
  <c r="O97" i="3"/>
  <c r="P97" i="3"/>
  <c r="Q97" i="3"/>
  <c r="R97" i="3"/>
  <c r="C98" i="3"/>
  <c r="D98" i="3"/>
  <c r="E98" i="3"/>
  <c r="F98" i="3"/>
  <c r="G98" i="3"/>
  <c r="H98" i="3"/>
  <c r="I98" i="3"/>
  <c r="J98" i="3"/>
  <c r="K98" i="3"/>
  <c r="L98" i="3"/>
  <c r="M98" i="3"/>
  <c r="N98" i="3"/>
  <c r="O98" i="3"/>
  <c r="P98" i="3"/>
  <c r="Q98" i="3"/>
  <c r="R98" i="3"/>
  <c r="C99" i="3"/>
  <c r="D99" i="3"/>
  <c r="E99" i="3"/>
  <c r="F99" i="3"/>
  <c r="G99" i="3"/>
  <c r="H99" i="3"/>
  <c r="I99" i="3"/>
  <c r="J99" i="3"/>
  <c r="K99" i="3"/>
  <c r="L99" i="3"/>
  <c r="M99" i="3"/>
  <c r="N99" i="3"/>
  <c r="O99" i="3"/>
  <c r="P99" i="3"/>
  <c r="Q99" i="3"/>
  <c r="R99" i="3"/>
  <c r="C100" i="3"/>
  <c r="D100" i="3"/>
  <c r="E100" i="3"/>
  <c r="F100" i="3"/>
  <c r="G100" i="3"/>
  <c r="H100" i="3"/>
  <c r="I100" i="3"/>
  <c r="J100" i="3"/>
  <c r="K100" i="3"/>
  <c r="L100" i="3"/>
  <c r="M100" i="3"/>
  <c r="N100" i="3"/>
  <c r="O100" i="3"/>
  <c r="P100" i="3"/>
  <c r="Q100" i="3"/>
  <c r="R100" i="3"/>
  <c r="C101" i="3"/>
  <c r="D101" i="3"/>
  <c r="E101" i="3"/>
  <c r="F101" i="3"/>
  <c r="G101" i="3"/>
  <c r="H101" i="3"/>
  <c r="I101" i="3"/>
  <c r="J101" i="3"/>
  <c r="K101" i="3"/>
  <c r="L101" i="3"/>
  <c r="M101" i="3"/>
  <c r="N101" i="3"/>
  <c r="O101" i="3"/>
  <c r="P101" i="3"/>
  <c r="Q101" i="3"/>
  <c r="R101" i="3"/>
  <c r="C102" i="3"/>
  <c r="D102" i="3"/>
  <c r="E102" i="3"/>
  <c r="F102" i="3"/>
  <c r="G102" i="3"/>
  <c r="H102" i="3"/>
  <c r="I102" i="3"/>
  <c r="J102" i="3"/>
  <c r="K102" i="3"/>
  <c r="L102" i="3"/>
  <c r="M102" i="3"/>
  <c r="N102" i="3"/>
  <c r="O102" i="3"/>
  <c r="P102" i="3"/>
  <c r="Q102" i="3"/>
  <c r="R102" i="3"/>
  <c r="C103" i="3"/>
  <c r="D103" i="3"/>
  <c r="E103" i="3"/>
  <c r="F103" i="3"/>
  <c r="G103" i="3"/>
  <c r="H103" i="3"/>
  <c r="I103" i="3"/>
  <c r="J103" i="3"/>
  <c r="K103" i="3"/>
  <c r="L103" i="3"/>
  <c r="M103" i="3"/>
  <c r="N103" i="3"/>
  <c r="O103" i="3"/>
  <c r="P103" i="3"/>
  <c r="Q103" i="3"/>
  <c r="R103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4" i="3"/>
  <c r="L7" i="1"/>
  <c r="M7" i="1" s="1"/>
  <c r="L26" i="1"/>
  <c r="M26" i="1" s="1"/>
  <c r="L28" i="1"/>
  <c r="M28" i="1" s="1"/>
  <c r="L19" i="1"/>
  <c r="M19" i="1" s="1"/>
  <c r="L23" i="1"/>
  <c r="M23" i="1" s="1"/>
  <c r="L24" i="1"/>
  <c r="M24" i="1" s="1"/>
  <c r="L18" i="1"/>
  <c r="M18" i="1" s="1"/>
  <c r="L9" i="1"/>
  <c r="M9" i="1" s="1"/>
  <c r="L10" i="1"/>
  <c r="M10" i="1" s="1"/>
  <c r="L12" i="1"/>
  <c r="M12" i="1" s="1"/>
  <c r="L14" i="1"/>
  <c r="M14" i="1" s="1"/>
  <c r="L5" i="1"/>
  <c r="M5" i="1" s="1"/>
  <c r="L15" i="1"/>
  <c r="M15" i="1" s="1"/>
  <c r="L13" i="1"/>
  <c r="M13" i="1" s="1"/>
  <c r="L16" i="1"/>
  <c r="M16" i="1" s="1"/>
  <c r="L6" i="1"/>
  <c r="M6" i="1" s="1"/>
  <c r="L27" i="1"/>
  <c r="M27" i="1" s="1"/>
  <c r="L8" i="1"/>
  <c r="M8" i="1" s="1"/>
  <c r="L20" i="1"/>
  <c r="M20" i="1" s="1"/>
  <c r="L21" i="1"/>
  <c r="M21" i="1" s="1"/>
  <c r="L11" i="1"/>
  <c r="M11" i="1" s="1"/>
  <c r="M4" i="1" l="1"/>
  <c r="M34" i="1" s="1"/>
</calcChain>
</file>

<file path=xl/sharedStrings.xml><?xml version="1.0" encoding="utf-8"?>
<sst xmlns="http://schemas.openxmlformats.org/spreadsheetml/2006/main" count="325" uniqueCount="105">
  <si>
    <t>Age</t>
  </si>
  <si>
    <t>Sex</t>
  </si>
  <si>
    <t>Admit Score</t>
  </si>
  <si>
    <t>Admit Pain</t>
  </si>
  <si>
    <t>Payer</t>
  </si>
  <si>
    <t>Tx Type</t>
  </si>
  <si>
    <t>Duration</t>
  </si>
  <si>
    <t>Predicted Progression</t>
  </si>
  <si>
    <t>Scale:</t>
  </si>
  <si>
    <t>A</t>
  </si>
  <si>
    <t>Male</t>
  </si>
  <si>
    <t>Commercial</t>
  </si>
  <si>
    <t>Conservative</t>
  </si>
  <si>
    <t>B</t>
  </si>
  <si>
    <t>Female</t>
  </si>
  <si>
    <t>C</t>
  </si>
  <si>
    <t xml:space="preserve">MSK1 Neck NDI Score: </t>
  </si>
  <si>
    <t>D</t>
  </si>
  <si>
    <t>Auto</t>
  </si>
  <si>
    <t xml:space="preserve">MSK1 Neck PI Score: </t>
  </si>
  <si>
    <t>E</t>
  </si>
  <si>
    <t xml:space="preserve">MSK2 Upper Extremity QDASH Score: </t>
  </si>
  <si>
    <t>F</t>
  </si>
  <si>
    <t xml:space="preserve">MSK2 Upper Extremity UE Score: </t>
  </si>
  <si>
    <t>G</t>
  </si>
  <si>
    <t>H</t>
  </si>
  <si>
    <t xml:space="preserve">MSK3 Back MDQ Score: </t>
  </si>
  <si>
    <t>I</t>
  </si>
  <si>
    <t>Self</t>
  </si>
  <si>
    <t xml:space="preserve">MSK3 Back PI Score: </t>
  </si>
  <si>
    <t>J</t>
  </si>
  <si>
    <t xml:space="preserve">MSK4 Lower Extremity LEFS Score: </t>
  </si>
  <si>
    <t>K</t>
  </si>
  <si>
    <t>Missing</t>
  </si>
  <si>
    <t xml:space="preserve">MSK4 Lower Extremity PI Score: </t>
  </si>
  <si>
    <t>L</t>
  </si>
  <si>
    <t>MSK4 Lower Extremity HOOSJr Score</t>
  </si>
  <si>
    <t>M</t>
  </si>
  <si>
    <t xml:space="preserve">MSK5 Knee KOS Score: </t>
  </si>
  <si>
    <t>N</t>
  </si>
  <si>
    <t>Medicare</t>
  </si>
  <si>
    <t xml:space="preserve">MSK5 Knee PF Score: </t>
  </si>
  <si>
    <t>O</t>
  </si>
  <si>
    <t xml:space="preserve">MSK5 Knee KOOSJr Score: </t>
  </si>
  <si>
    <t>P</t>
  </si>
  <si>
    <t>Q</t>
  </si>
  <si>
    <t>MSK6 Neck NPRS Score:</t>
  </si>
  <si>
    <t>R</t>
  </si>
  <si>
    <t>Surgical</t>
  </si>
  <si>
    <t>MSK7 Upper Extremity NPRS Score:</t>
  </si>
  <si>
    <t>S</t>
  </si>
  <si>
    <t>Medicaid</t>
  </si>
  <si>
    <t>MSK8 Back NPRS Score:</t>
  </si>
  <si>
    <t>T</t>
  </si>
  <si>
    <t>MSK9 Lower Extremity NPRS Score:</t>
  </si>
  <si>
    <t>U</t>
  </si>
  <si>
    <t>MSK10 Knee NPRS Score:</t>
  </si>
  <si>
    <t>V</t>
  </si>
  <si>
    <t>W</t>
  </si>
  <si>
    <t>X</t>
  </si>
  <si>
    <t>Y</t>
  </si>
  <si>
    <t>id</t>
  </si>
  <si>
    <t>MSK1.Neck.NDI</t>
  </si>
  <si>
    <t>MSK1.Neck.PI</t>
  </si>
  <si>
    <t>MSK2.UpperExtremity.QDASH</t>
  </si>
  <si>
    <t>MSK2.UpperExtremity.UE</t>
  </si>
  <si>
    <t>MSK3.Back.MDQ</t>
  </si>
  <si>
    <t>MSK3.Back.PI</t>
  </si>
  <si>
    <t>MSK4.LowerExtremity.LEFS</t>
  </si>
  <si>
    <t>MSK4.LowerExtremity.PI</t>
  </si>
  <si>
    <t>MSK4.LowerExtremity.HOOSJr</t>
  </si>
  <si>
    <t>MSK5.Knee.KOS</t>
  </si>
  <si>
    <t>MSK5.Knee.PF</t>
  </si>
  <si>
    <t>MSK5.Knee.KOOSJr</t>
  </si>
  <si>
    <t>MSK6.Neck.NPRS</t>
  </si>
  <si>
    <t>MSK7.UpperExtremity.NPRS</t>
  </si>
  <si>
    <t>MSK8.Back.NPRS</t>
  </si>
  <si>
    <t>MSK9.LowerExtremity.NPRS</t>
  </si>
  <si>
    <t>MSK10.Knee.NPRS</t>
  </si>
  <si>
    <t>Age.num</t>
  </si>
  <si>
    <t>GENDER_DSC</t>
  </si>
  <si>
    <t>ADMIT_SCORE_NO</t>
  </si>
  <si>
    <t>ADMIT_PAIN_NO</t>
  </si>
  <si>
    <t>pyr2</t>
  </si>
  <si>
    <t>Industrial</t>
  </si>
  <si>
    <t>TX_TYPE_CD</t>
  </si>
  <si>
    <t>lower</t>
  </si>
  <si>
    <t>upper</t>
  </si>
  <si>
    <t>DurCat</t>
  </si>
  <si>
    <t>[91,365]</t>
  </si>
  <si>
    <t>Infinity</t>
  </si>
  <si>
    <t>[366,Inf]</t>
  </si>
  <si>
    <t>Missing/Inter/PNA</t>
  </si>
  <si>
    <t>[0,30]</t>
  </si>
  <si>
    <t>[31,90]</t>
  </si>
  <si>
    <t>MSK4.LowerExtremity.PF</t>
  </si>
  <si>
    <t>Adjusted Performance</t>
  </si>
  <si>
    <t>Adjusted Provider-Level  Performance Rate</t>
  </si>
  <si>
    <t>Unadjusted (raw) Provider-Level  Performance Rate</t>
  </si>
  <si>
    <t>Observed Progression</t>
  </si>
  <si>
    <t xml:space="preserve">Patient </t>
  </si>
  <si>
    <t>Patient data</t>
  </si>
  <si>
    <t>MSK measure</t>
  </si>
  <si>
    <t>Progression 
(achieving or exceeding the MCID)</t>
  </si>
  <si>
    <r>
      <t xml:space="preserve">The value in P3 should </t>
    </r>
    <r>
      <rPr>
        <b/>
        <sz val="12"/>
        <color theme="1"/>
        <rFont val="Arial (Body)"/>
      </rPr>
      <t xml:space="preserve">correspond to the survey (scale) </t>
    </r>
    <r>
      <rPr>
        <b/>
        <sz val="12"/>
        <color theme="1"/>
        <rFont val="Arial"/>
        <family val="2"/>
        <scheme val="minor"/>
      </rPr>
      <t>as shown below.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</si>
</sst>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00"/>
    <numFmt numFmtId="165" formatCode="0.000000000"/>
    <numFmt numFmtId="166" formatCode="0.0000000000"/>
    <numFmt numFmtId="167" formatCode="0.000000000000"/>
  </numFmts>
  <fonts count="22" x14ac:knownFonts="1">
    <font>
      <sz val="11"/>
      <color theme="1"/>
      <name val="Arial"/>
      <scheme val="minor"/>
    </font>
    <font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2"/>
      <color theme="1"/>
      <name val="Calibri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1"/>
      <color rgb="FF000000"/>
      <name val="Calibri"/>
      <family val="2"/>
    </font>
    <font>
      <sz val="11"/>
      <color rgb="FF1D1C1D"/>
      <name val="Lato"/>
    </font>
    <font>
      <sz val="12"/>
      <name val="Calibri"/>
      <family val="2"/>
    </font>
    <font>
      <sz val="12"/>
      <color rgb="FF000000"/>
      <name val="Calibri"/>
      <family val="2"/>
    </font>
    <font>
      <sz val="12"/>
      <name val="Arial"/>
      <family val="2"/>
      <scheme val="minor"/>
    </font>
    <font>
      <sz val="11"/>
      <color theme="1"/>
      <name val="Arial"/>
      <family val="2"/>
      <scheme val="minor"/>
    </font>
    <font>
      <sz val="12"/>
      <color theme="1"/>
      <name val="Arial"/>
      <family val="2"/>
      <scheme val="major"/>
    </font>
    <font>
      <b/>
      <sz val="12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b/>
      <sz val="12"/>
      <color theme="1"/>
      <name val="Arial (Body)"/>
    </font>
  </fonts>
  <fills count="5">
    <fill>
      <patternFill patternType="none"/>
    </fill>
    <fill>
      <patternFill patternType="gray125"/>
    </fill>
    <fill>
      <patternFill patternType="solid">
        <fgColor rgb="FFF8F8F8"/>
        <bgColor rgb="FFF8F8F8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6" fillId="0" borderId="0" applyFont="0" applyFill="0" applyBorder="0" applyAlignment="0" applyProtection="0"/>
  </cellStyleXfs>
  <cellXfs count="76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164" fontId="0" fillId="0" borderId="0" xfId="0" applyNumberFormat="1"/>
    <xf numFmtId="164" fontId="13" fillId="0" borderId="0" xfId="0" applyNumberFormat="1" applyFont="1"/>
    <xf numFmtId="165" fontId="7" fillId="0" borderId="0" xfId="0" applyNumberFormat="1" applyFont="1"/>
    <xf numFmtId="165" fontId="10" fillId="0" borderId="0" xfId="0" applyNumberFormat="1" applyFont="1"/>
    <xf numFmtId="165" fontId="0" fillId="0" borderId="0" xfId="0" applyNumberFormat="1"/>
    <xf numFmtId="165" fontId="8" fillId="0" borderId="0" xfId="0" applyNumberFormat="1" applyFont="1"/>
    <xf numFmtId="165" fontId="11" fillId="0" borderId="0" xfId="0" applyNumberFormat="1" applyFont="1" applyAlignment="1">
      <alignment horizontal="right"/>
    </xf>
    <xf numFmtId="165" fontId="13" fillId="0" borderId="0" xfId="0" applyNumberFormat="1" applyFont="1"/>
    <xf numFmtId="165" fontId="14" fillId="0" borderId="0" xfId="0" applyNumberFormat="1" applyFont="1" applyAlignment="1">
      <alignment horizontal="right"/>
    </xf>
    <xf numFmtId="165" fontId="5" fillId="0" borderId="0" xfId="0" applyNumberFormat="1" applyFont="1"/>
    <xf numFmtId="165" fontId="6" fillId="0" borderId="0" xfId="0" applyNumberFormat="1" applyFont="1"/>
    <xf numFmtId="165" fontId="4" fillId="0" borderId="0" xfId="0" applyNumberFormat="1" applyFont="1"/>
    <xf numFmtId="166" fontId="5" fillId="0" borderId="0" xfId="0" applyNumberFormat="1" applyFont="1"/>
    <xf numFmtId="166" fontId="6" fillId="0" borderId="0" xfId="0" applyNumberFormat="1" applyFont="1"/>
    <xf numFmtId="166" fontId="4" fillId="0" borderId="0" xfId="0" applyNumberFormat="1" applyFont="1"/>
    <xf numFmtId="166" fontId="13" fillId="0" borderId="0" xfId="0" applyNumberFormat="1" applyFont="1"/>
    <xf numFmtId="167" fontId="4" fillId="0" borderId="0" xfId="0" applyNumberFormat="1" applyFont="1"/>
    <xf numFmtId="167" fontId="15" fillId="0" borderId="0" xfId="0" applyNumberFormat="1" applyFont="1"/>
    <xf numFmtId="165" fontId="12" fillId="2" borderId="0" xfId="0" applyNumberFormat="1" applyFont="1" applyFill="1" applyAlignment="1">
      <alignment horizontal="left"/>
    </xf>
    <xf numFmtId="164" fontId="13" fillId="3" borderId="0" xfId="0" applyNumberFormat="1" applyFont="1" applyFill="1"/>
    <xf numFmtId="165" fontId="13" fillId="3" borderId="0" xfId="0" applyNumberFormat="1" applyFont="1" applyFill="1"/>
    <xf numFmtId="164" fontId="9" fillId="0" borderId="0" xfId="0" applyNumberFormat="1" applyFont="1"/>
    <xf numFmtId="164" fontId="7" fillId="0" borderId="0" xfId="0" applyNumberFormat="1" applyFont="1"/>
    <xf numFmtId="164" fontId="11" fillId="0" borderId="0" xfId="0" applyNumberFormat="1" applyFont="1" applyAlignment="1">
      <alignment horizontal="right"/>
    </xf>
    <xf numFmtId="165" fontId="5" fillId="0" borderId="0" xfId="0" applyNumberFormat="1" applyFont="1" applyAlignment="1">
      <alignment horizontal="right"/>
    </xf>
    <xf numFmtId="0" fontId="4" fillId="0" borderId="0" xfId="0" applyFont="1"/>
    <xf numFmtId="0" fontId="3" fillId="0" borderId="0" xfId="0" applyFont="1"/>
    <xf numFmtId="9" fontId="18" fillId="0" borderId="0" xfId="1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4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center"/>
    </xf>
    <xf numFmtId="0" fontId="19" fillId="0" borderId="5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2" fillId="0" borderId="1" xfId="0" applyFont="1" applyBorder="1"/>
    <xf numFmtId="0" fontId="2" fillId="0" borderId="6" xfId="0" applyFont="1" applyBorder="1"/>
    <xf numFmtId="0" fontId="2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/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5" fontId="2" fillId="0" borderId="6" xfId="0" applyNumberFormat="1" applyFont="1" applyBorder="1"/>
    <xf numFmtId="0" fontId="2" fillId="0" borderId="8" xfId="0" applyFont="1" applyBorder="1"/>
    <xf numFmtId="165" fontId="2" fillId="0" borderId="9" xfId="0" applyNumberFormat="1" applyFont="1" applyBorder="1"/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5" xfId="0" applyFont="1" applyBorder="1"/>
    <xf numFmtId="0" fontId="2" fillId="0" borderId="1" xfId="0" applyFont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 applyAlignment="1">
      <alignment horizontal="center" vertical="center"/>
    </xf>
    <xf numFmtId="165" fontId="2" fillId="0" borderId="1" xfId="0" applyNumberFormat="1" applyFont="1" applyBorder="1"/>
    <xf numFmtId="165" fontId="2" fillId="0" borderId="1" xfId="0" applyNumberFormat="1" applyFont="1" applyBorder="1" applyAlignment="1">
      <alignment horizontal="right"/>
    </xf>
    <xf numFmtId="165" fontId="2" fillId="0" borderId="8" xfId="0" applyNumberFormat="1" applyFont="1" applyBorder="1"/>
    <xf numFmtId="0" fontId="19" fillId="0" borderId="5" xfId="0" applyFont="1" applyBorder="1"/>
    <xf numFmtId="0" fontId="1" fillId="0" borderId="1" xfId="0" applyFont="1" applyBorder="1"/>
    <xf numFmtId="0" fontId="1" fillId="0" borderId="6" xfId="0" applyFont="1" applyBorder="1"/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28" Type="http://schemas.openxmlformats.org/officeDocument/2006/relationships/theme" Target="theme/theme1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7" Type="http://customschemas.google.com/relationships/workbookmetadata" Target="metadata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Y243"/>
  <sheetViews>
    <sheetView tabSelected="1" workbookViewId="0">
      <selection activeCell="S33" sqref="S33"/>
    </sheetView>
  </sheetViews>
  <sheetFormatPr baseColWidth="10" defaultColWidth="12.6640625" defaultRowHeight="14" x14ac:dyDescent="0.15"/>
  <cols>
    <col min="1" max="1" width="3.33203125" customWidth="1"/>
    <col min="2" max="2" width="7.83203125" bestFit="1" customWidth="1"/>
    <col min="3" max="3" width="5" bestFit="1" customWidth="1"/>
    <col min="4" max="4" width="8" bestFit="1" customWidth="1"/>
    <col min="5" max="5" width="13" bestFit="1" customWidth="1"/>
    <col min="6" max="6" width="11.5" bestFit="1" customWidth="1"/>
    <col min="7" max="7" width="12.1640625" bestFit="1" customWidth="1"/>
    <col min="8" max="8" width="13.1640625" bestFit="1" customWidth="1"/>
    <col min="9" max="9" width="9.33203125" bestFit="1" customWidth="1"/>
    <col min="10" max="10" width="3.33203125" customWidth="1"/>
    <col min="11" max="11" width="17.5" style="39" bestFit="1" customWidth="1"/>
    <col min="12" max="12" width="14" bestFit="1" customWidth="1"/>
    <col min="13" max="13" width="20" style="39" bestFit="1" customWidth="1"/>
    <col min="14" max="14" width="3.33203125" style="39" customWidth="1"/>
    <col min="15" max="15" width="38" customWidth="1"/>
    <col min="16" max="17" width="7.6640625" customWidth="1"/>
    <col min="18" max="18" width="31.1640625" customWidth="1"/>
  </cols>
  <sheetData>
    <row r="1" spans="2:25" ht="15" thickBot="1" x14ac:dyDescent="0.2"/>
    <row r="2" spans="2:25" ht="53" customHeight="1" x14ac:dyDescent="0.25">
      <c r="B2" s="70" t="s">
        <v>101</v>
      </c>
      <c r="C2" s="71"/>
      <c r="D2" s="71"/>
      <c r="E2" s="71"/>
      <c r="F2" s="71"/>
      <c r="G2" s="71"/>
      <c r="H2" s="71"/>
      <c r="I2" s="72"/>
      <c r="K2" s="73" t="s">
        <v>103</v>
      </c>
      <c r="L2" s="74"/>
      <c r="M2" s="75"/>
      <c r="N2" s="40"/>
      <c r="O2" s="70" t="s">
        <v>102</v>
      </c>
      <c r="P2" s="71"/>
      <c r="Q2" s="71"/>
      <c r="R2" s="72"/>
    </row>
    <row r="3" spans="2:25" ht="34" x14ac:dyDescent="0.2">
      <c r="B3" s="41" t="s">
        <v>100</v>
      </c>
      <c r="C3" s="42" t="s">
        <v>0</v>
      </c>
      <c r="D3" s="42" t="s">
        <v>1</v>
      </c>
      <c r="E3" s="42" t="s">
        <v>2</v>
      </c>
      <c r="F3" s="42" t="s">
        <v>3</v>
      </c>
      <c r="G3" s="42" t="s">
        <v>4</v>
      </c>
      <c r="H3" s="42" t="s">
        <v>5</v>
      </c>
      <c r="I3" s="43" t="s">
        <v>6</v>
      </c>
      <c r="J3" s="44"/>
      <c r="K3" s="41" t="s">
        <v>99</v>
      </c>
      <c r="L3" s="42" t="s">
        <v>7</v>
      </c>
      <c r="M3" s="43" t="s">
        <v>96</v>
      </c>
      <c r="N3" s="44"/>
      <c r="O3" s="41" t="s">
        <v>8</v>
      </c>
      <c r="P3" s="42">
        <v>16</v>
      </c>
      <c r="Q3" s="45"/>
      <c r="R3" s="46"/>
      <c r="S3" s="2"/>
      <c r="T3" s="2"/>
      <c r="U3" s="2"/>
      <c r="V3" s="2"/>
      <c r="W3" s="2"/>
      <c r="X3" s="2"/>
      <c r="Y3" s="2"/>
    </row>
    <row r="4" spans="2:25" ht="16" x14ac:dyDescent="0.2">
      <c r="B4" s="47" t="s">
        <v>9</v>
      </c>
      <c r="C4" s="48">
        <v>18</v>
      </c>
      <c r="D4" s="48" t="s">
        <v>10</v>
      </c>
      <c r="E4" s="48">
        <v>60</v>
      </c>
      <c r="F4" s="48"/>
      <c r="G4" s="48" t="s">
        <v>11</v>
      </c>
      <c r="H4" s="48" t="s">
        <v>12</v>
      </c>
      <c r="I4" s="49">
        <v>8</v>
      </c>
      <c r="J4" s="50"/>
      <c r="K4" s="47">
        <v>0</v>
      </c>
      <c r="L4" s="64">
        <f>EXP( VLOOKUP(1, Intercepts!A$2:R$2, P$3, FALSE) + VLOOKUP(C4, Age!A$13:R$103, P$3, FALSE) + VLOOKUP(D4, Sex!A$2:R$4, P$3, FALSE) + VLOOKUP(E4, AdmitScore!A$2:R$103, P$3, FALSE) + VLOOKUP(F4, AdmitPain!A$2:R$13, P$3, FALSE) + VLOOKUP(G4, Payer!A$2:R$7, P$3, FALSE) + VLOOKUP(H4, TxType!A$2:R$3, P$3, FALSE) + VLOOKUP('Patient Data'!I4, Duration!A$2:T$9, P$3+2, TRUE) )/(1+EXP( VLOOKUP(1, Intercepts!A$2:R$2, P$3, FALSE) + VLOOKUP(C4, Age!A$2:R$103, P$3, FALSE) + VLOOKUP(D4, Sex!A$2:R$4, P$3, FALSE) + VLOOKUP(E4, AdmitScore!A$2:R$103, P$3, FALSE) + VLOOKUP(F4, AdmitPain!A$2:R$13, P$3, FALSE) + VLOOKUP(G4, Payer!A$2:R$7, P$3, FALSE) + VLOOKUP(H4, TxType!A$2:R$3, P$3, FALSE) + VLOOKUP('Patient Data'!I4, Duration!A$2:T$9, P$3+2, TRUE) ))</f>
        <v>0.25300292604658986</v>
      </c>
      <c r="M4" s="51">
        <f t="shared" ref="M4:M28" si="0">IF(L4&gt;0.3,K4,1)</f>
        <v>1</v>
      </c>
      <c r="N4" s="52"/>
      <c r="O4" s="67" t="s">
        <v>104</v>
      </c>
      <c r="P4" s="68"/>
      <c r="Q4" s="68"/>
      <c r="R4" s="69"/>
      <c r="S4" s="2"/>
      <c r="T4" s="2"/>
      <c r="U4" s="2"/>
      <c r="V4" s="2"/>
      <c r="W4" s="2"/>
      <c r="X4" s="2"/>
      <c r="Y4" s="2"/>
    </row>
    <row r="5" spans="2:25" ht="16" x14ac:dyDescent="0.2">
      <c r="B5" s="47" t="s">
        <v>13</v>
      </c>
      <c r="C5" s="48">
        <v>27</v>
      </c>
      <c r="D5" s="48" t="s">
        <v>14</v>
      </c>
      <c r="E5" s="48">
        <v>10</v>
      </c>
      <c r="F5" s="48">
        <v>0</v>
      </c>
      <c r="G5" s="48" t="s">
        <v>11</v>
      </c>
      <c r="H5" s="48" t="s">
        <v>12</v>
      </c>
      <c r="I5" s="49">
        <v>10</v>
      </c>
      <c r="J5" s="50"/>
      <c r="K5" s="47">
        <v>0</v>
      </c>
      <c r="L5" s="64">
        <f>EXP( VLOOKUP(1, Intercepts!A$2:R$2, P$3, FALSE) + VLOOKUP(C5, Age!A$13:R$103, P$3, FALSE) + VLOOKUP(D5, Sex!A$2:R$4, P$3, FALSE) + VLOOKUP(E5, AdmitScore!A$2:R$103, P$3, FALSE) + VLOOKUP(F5, AdmitPain!A$2:R$13, P$3, FALSE) + VLOOKUP(G5, Payer!A$2:R$7, P$3, FALSE) + VLOOKUP(H5, TxType!A$2:R$3, P$3, FALSE) + VLOOKUP('Patient Data'!I5, Duration!A$2:T$6, P$3+2, TRUE) )/(1+EXP( VLOOKUP(1, Intercepts!A$2:R$2, P$3, FALSE) + VLOOKUP(C5, Age!A$2:R$103, P$3, FALSE) + VLOOKUP(D5, Sex!A$2:R$4, P$3, FALSE) + VLOOKUP(E5, AdmitScore!A$2:R$103, P$3, FALSE) + VLOOKUP(F5, AdmitPain!A$2:R$13, P$3, FALSE) + VLOOKUP(G5, Payer!A$2:R$7, P$3, FALSE) + VLOOKUP(H5, TxType!A$2:R$3, P$3, FALSE) + VLOOKUP('Patient Data'!I5, Duration!A$2:T$6, P$3+2, TRUE) ))</f>
        <v>0.22912502988074887</v>
      </c>
      <c r="M5" s="51">
        <f t="shared" si="0"/>
        <v>1</v>
      </c>
      <c r="N5" s="52"/>
      <c r="O5" s="60"/>
      <c r="P5" s="45"/>
      <c r="Q5" s="45"/>
      <c r="R5" s="46"/>
      <c r="S5" s="2"/>
      <c r="T5" s="2"/>
      <c r="U5" s="2"/>
      <c r="V5" s="2"/>
      <c r="W5" s="2"/>
      <c r="X5" s="2"/>
      <c r="Y5" s="2"/>
    </row>
    <row r="6" spans="2:25" ht="16" x14ac:dyDescent="0.2">
      <c r="B6" s="47" t="s">
        <v>15</v>
      </c>
      <c r="C6" s="48">
        <v>48</v>
      </c>
      <c r="D6" s="48" t="s">
        <v>10</v>
      </c>
      <c r="E6" s="48">
        <v>15</v>
      </c>
      <c r="F6" s="48">
        <v>1</v>
      </c>
      <c r="G6" s="48" t="s">
        <v>11</v>
      </c>
      <c r="H6" s="48" t="s">
        <v>12</v>
      </c>
      <c r="I6" s="49">
        <v>200</v>
      </c>
      <c r="J6" s="50"/>
      <c r="K6" s="47">
        <v>0</v>
      </c>
      <c r="L6" s="64">
        <f>EXP( VLOOKUP(1, Intercepts!A$2:R$2, P$3, FALSE) + VLOOKUP(C6, Age!A$13:R$103, P$3, FALSE) + VLOOKUP(D6, Sex!A$2:R$4, P$3, FALSE) + VLOOKUP(E6, AdmitScore!A$2:R$103, P$3, FALSE) + VLOOKUP(F6, AdmitPain!A$2:R$13, P$3, FALSE) + VLOOKUP(G6, Payer!A$2:R$7, P$3, FALSE) + VLOOKUP(H6, TxType!A$2:R$3, P$3, FALSE) + VLOOKUP('Patient Data'!I6, Duration!A$2:T$6, P$3+2, TRUE) )/(1+EXP( VLOOKUP(1, Intercepts!A$2:R$2, P$3, FALSE) + VLOOKUP(C6, Age!A$2:R$103, P$3, FALSE) + VLOOKUP(D6, Sex!A$2:R$4, P$3, FALSE) + VLOOKUP(E6, AdmitScore!A$2:R$103, P$3, FALSE) + VLOOKUP(F6, AdmitPain!A$2:R$13, P$3, FALSE) + VLOOKUP(G6, Payer!A$2:R$7, P$3, FALSE) + VLOOKUP(H6, TxType!A$2:R$3, P$3, FALSE) + VLOOKUP('Patient Data'!I6, Duration!A$2:T$6, P$3+2, TRUE) ))</f>
        <v>0.15786598275077182</v>
      </c>
      <c r="M6" s="51">
        <f t="shared" si="0"/>
        <v>1</v>
      </c>
      <c r="N6" s="52"/>
      <c r="O6" s="60" t="s">
        <v>16</v>
      </c>
      <c r="P6" s="61">
        <v>2</v>
      </c>
      <c r="Q6" s="45"/>
      <c r="R6" s="53" t="s">
        <v>62</v>
      </c>
      <c r="S6" s="2"/>
      <c r="T6" s="2"/>
      <c r="U6" s="2"/>
      <c r="V6" s="2"/>
      <c r="W6" s="2"/>
      <c r="X6" s="2"/>
      <c r="Y6" s="2"/>
    </row>
    <row r="7" spans="2:25" ht="16" x14ac:dyDescent="0.2">
      <c r="B7" s="47" t="s">
        <v>17</v>
      </c>
      <c r="C7" s="48">
        <v>93</v>
      </c>
      <c r="D7" s="48" t="s">
        <v>10</v>
      </c>
      <c r="E7" s="48">
        <v>20</v>
      </c>
      <c r="F7" s="48">
        <v>2</v>
      </c>
      <c r="G7" s="48" t="s">
        <v>18</v>
      </c>
      <c r="H7" s="48" t="s">
        <v>12</v>
      </c>
      <c r="I7" s="49">
        <v>3</v>
      </c>
      <c r="J7" s="50"/>
      <c r="K7" s="47">
        <v>0</v>
      </c>
      <c r="L7" s="64">
        <f>EXP( VLOOKUP(1, Intercepts!A$2:R$2, P$3, FALSE) + VLOOKUP(C7, Age!A$13:R$103, P$3, FALSE) + VLOOKUP(D7, Sex!A$2:R$4, P$3, FALSE) + VLOOKUP(E7, AdmitScore!A$2:R$103, P$3, FALSE) + VLOOKUP(F7, AdmitPain!A$2:R$13, P$3, FALSE) + VLOOKUP(G7, Payer!A$2:R$7, P$3, FALSE) + VLOOKUP(H7, TxType!A$2:R$3, P$3, FALSE) + VLOOKUP('Patient Data'!I7, Duration!A$2:T$6, P$3+2, TRUE) )/(1+EXP( VLOOKUP(1, Intercepts!A$2:R$2, P$3, FALSE) + VLOOKUP(C7, Age!A$2:R$103, P$3, FALSE) + VLOOKUP(D7, Sex!A$2:R$4, P$3, FALSE) + VLOOKUP(E7, AdmitScore!A$2:R$103, P$3, FALSE) + VLOOKUP(F7, AdmitPain!A$2:R$13, P$3, FALSE) + VLOOKUP(G7, Payer!A$2:R$7, P$3, FALSE) + VLOOKUP(H7, TxType!A$2:R$3, P$3, FALSE) + VLOOKUP('Patient Data'!I7, Duration!A$2:T$6, P$3+2, TRUE) ))</f>
        <v>0.25090278793158466</v>
      </c>
      <c r="M7" s="51">
        <f t="shared" si="0"/>
        <v>1</v>
      </c>
      <c r="N7" s="52"/>
      <c r="O7" s="60" t="s">
        <v>19</v>
      </c>
      <c r="P7" s="61">
        <v>3</v>
      </c>
      <c r="Q7" s="45"/>
      <c r="R7" s="53" t="s">
        <v>63</v>
      </c>
      <c r="S7" s="2"/>
      <c r="T7" s="2"/>
      <c r="U7" s="2"/>
      <c r="V7" s="2"/>
      <c r="W7" s="2"/>
      <c r="X7" s="2"/>
      <c r="Y7" s="2"/>
    </row>
    <row r="8" spans="2:25" ht="16" x14ac:dyDescent="0.2">
      <c r="B8" s="47" t="s">
        <v>20</v>
      </c>
      <c r="C8" s="48">
        <v>55</v>
      </c>
      <c r="D8" s="48" t="s">
        <v>10</v>
      </c>
      <c r="E8" s="48">
        <v>25</v>
      </c>
      <c r="F8" s="48">
        <v>3</v>
      </c>
      <c r="G8" s="48" t="s">
        <v>11</v>
      </c>
      <c r="H8" s="48" t="s">
        <v>12</v>
      </c>
      <c r="I8" s="49">
        <v>366</v>
      </c>
      <c r="J8" s="50"/>
      <c r="K8" s="47">
        <v>1</v>
      </c>
      <c r="L8" s="64">
        <f>EXP( VLOOKUP(1, Intercepts!A$2:R$2, P$3, FALSE) + VLOOKUP(C8, Age!A$13:R$103, P$3, FALSE) + VLOOKUP(D8, Sex!A$2:R$4, P$3, FALSE) + VLOOKUP(E8, AdmitScore!A$2:R$103, P$3, FALSE) + VLOOKUP(F8, AdmitPain!A$2:R$13, P$3, FALSE) + VLOOKUP(G8, Payer!A$2:R$7, P$3, FALSE) + VLOOKUP(H8, TxType!A$2:R$3, P$3, FALSE) + VLOOKUP('Patient Data'!I8, Duration!A$2:T$6, P$3+2, TRUE) )/(1+EXP( VLOOKUP(1, Intercepts!A$2:R$2, P$3, FALSE) + VLOOKUP(C8, Age!A$2:R$103, P$3, FALSE) + VLOOKUP(D8, Sex!A$2:R$4, P$3, FALSE) + VLOOKUP(E8, AdmitScore!A$2:R$103, P$3, FALSE) + VLOOKUP(F8, AdmitPain!A$2:R$13, P$3, FALSE) + VLOOKUP(G8, Payer!A$2:R$7, P$3, FALSE) + VLOOKUP(H8, TxType!A$2:R$3, P$3, FALSE) + VLOOKUP('Patient Data'!I8, Duration!A$2:T$6, P$3+2, TRUE) ))</f>
        <v>0.26817221088300519</v>
      </c>
      <c r="M8" s="51">
        <f t="shared" si="0"/>
        <v>1</v>
      </c>
      <c r="N8" s="52"/>
      <c r="O8" s="60" t="s">
        <v>21</v>
      </c>
      <c r="P8" s="61">
        <v>4</v>
      </c>
      <c r="Q8" s="45"/>
      <c r="R8" s="53" t="s">
        <v>64</v>
      </c>
      <c r="S8" s="2"/>
      <c r="T8" s="2"/>
      <c r="U8" s="2"/>
      <c r="V8" s="2"/>
      <c r="W8" s="2"/>
      <c r="X8" s="2"/>
      <c r="Y8" s="2"/>
    </row>
    <row r="9" spans="2:25" ht="16" x14ac:dyDescent="0.2">
      <c r="B9" s="47" t="s">
        <v>22</v>
      </c>
      <c r="C9" s="48">
        <v>66</v>
      </c>
      <c r="D9" s="48" t="s">
        <v>10</v>
      </c>
      <c r="E9" s="48">
        <v>30</v>
      </c>
      <c r="F9" s="48">
        <v>4</v>
      </c>
      <c r="G9" s="48" t="s">
        <v>11</v>
      </c>
      <c r="H9" s="48" t="s">
        <v>12</v>
      </c>
      <c r="I9" s="49">
        <v>60</v>
      </c>
      <c r="J9" s="50"/>
      <c r="K9" s="47">
        <v>0</v>
      </c>
      <c r="L9" s="64">
        <f>EXP( VLOOKUP(1, Intercepts!A$2:R$2, P$3, FALSE) + VLOOKUP(C9, Age!A$13:R$103, P$3, FALSE) + VLOOKUP(D9, Sex!A$2:R$4, P$3, FALSE) + VLOOKUP(E9, AdmitScore!A$2:R$103, P$3, FALSE) + VLOOKUP(F9, AdmitPain!A$2:R$13, P$3, FALSE) + VLOOKUP(G9, Payer!A$2:R$7, P$3, FALSE) + VLOOKUP(H9, TxType!A$2:R$3, P$3, FALSE) + VLOOKUP('Patient Data'!I9, Duration!A$2:T$6, P$3+2, TRUE) )/(1+EXP( VLOOKUP(1, Intercepts!A$2:R$2, P$3, FALSE) + VLOOKUP(C9, Age!A$2:R$103, P$3, FALSE) + VLOOKUP(D9, Sex!A$2:R$4, P$3, FALSE) + VLOOKUP(E9, AdmitScore!A$2:R$103, P$3, FALSE) + VLOOKUP(F9, AdmitPain!A$2:R$13, P$3, FALSE) + VLOOKUP(G9, Payer!A$2:R$7, P$3, FALSE) + VLOOKUP(H9, TxType!A$2:R$3, P$3, FALSE) + VLOOKUP('Patient Data'!I9, Duration!A$2:T$6, P$3+2, TRUE) ))</f>
        <v>0.512888191870295</v>
      </c>
      <c r="M9" s="51">
        <f t="shared" si="0"/>
        <v>0</v>
      </c>
      <c r="N9" s="52"/>
      <c r="O9" s="60" t="s">
        <v>23</v>
      </c>
      <c r="P9" s="61">
        <v>5</v>
      </c>
      <c r="Q9" s="45"/>
      <c r="R9" s="53" t="s">
        <v>65</v>
      </c>
      <c r="S9" s="2"/>
      <c r="T9" s="2"/>
      <c r="U9" s="2"/>
      <c r="V9" s="2"/>
      <c r="W9" s="2"/>
      <c r="X9" s="2"/>
      <c r="Y9" s="2"/>
    </row>
    <row r="10" spans="2:25" ht="16" x14ac:dyDescent="0.2">
      <c r="B10" s="47" t="s">
        <v>24</v>
      </c>
      <c r="C10" s="48">
        <v>77</v>
      </c>
      <c r="D10" s="48" t="s">
        <v>10</v>
      </c>
      <c r="E10" s="48">
        <v>35</v>
      </c>
      <c r="F10" s="48">
        <v>5</v>
      </c>
      <c r="G10" s="48" t="s">
        <v>11</v>
      </c>
      <c r="H10" s="48" t="s">
        <v>12</v>
      </c>
      <c r="I10" s="49">
        <v>90</v>
      </c>
      <c r="J10" s="50"/>
      <c r="K10" s="47">
        <v>0</v>
      </c>
      <c r="L10" s="65">
        <f>EXP( VLOOKUP(1, Intercepts!A$2:R$2, P$3, FALSE) + VLOOKUP(C10, Age!A$13:R$103, P$3, FALSE) + VLOOKUP(D10, Sex!A$2:R$4, P$3, FALSE) + VLOOKUP(E10, AdmitScore!A$2:R$103, P$3, FALSE) + VLOOKUP(F10, AdmitPain!A$2:R$13, P$3, FALSE) + VLOOKUP(G10, Payer!A$2:R$7, P$3, FALSE) + VLOOKUP(H10, TxType!A$2:R$3, P$3, FALSE) + VLOOKUP('Patient Data'!I10, Duration!A$2:T$6, P$3+2, TRUE) )/(1+EXP( VLOOKUP(1, Intercepts!A$2:R$2, P$3, FALSE) + VLOOKUP(C10, Age!A$2:R$103, P$3, FALSE) + VLOOKUP(D10, Sex!A$2:R$4, P$3, FALSE) + VLOOKUP(E10, AdmitScore!A$2:R$103, P$3, FALSE) + VLOOKUP(F10, AdmitPain!A$2:R$13, P$3, FALSE) + VLOOKUP(G10, Payer!A$2:R$7, P$3, FALSE) + VLOOKUP(H10, TxType!A$2:R$3, P$3, FALSE) + VLOOKUP('Patient Data'!I10, Duration!A$2:T$6, P$3+2, TRUE) ))</f>
        <v>0.59131594886904293</v>
      </c>
      <c r="M10" s="51">
        <f t="shared" si="0"/>
        <v>0</v>
      </c>
      <c r="N10" s="52"/>
      <c r="O10" s="60" t="s">
        <v>26</v>
      </c>
      <c r="P10" s="61">
        <v>6</v>
      </c>
      <c r="Q10" s="45"/>
      <c r="R10" s="53" t="s">
        <v>66</v>
      </c>
      <c r="S10" s="2"/>
      <c r="T10" s="2"/>
      <c r="U10" s="2"/>
      <c r="V10" s="2"/>
      <c r="W10" s="2"/>
      <c r="X10" s="2"/>
      <c r="Y10" s="2"/>
    </row>
    <row r="11" spans="2:25" ht="16" x14ac:dyDescent="0.2">
      <c r="B11" s="47" t="s">
        <v>25</v>
      </c>
      <c r="C11" s="48">
        <v>88</v>
      </c>
      <c r="D11" s="48" t="s">
        <v>10</v>
      </c>
      <c r="E11" s="48">
        <v>40</v>
      </c>
      <c r="F11" s="48">
        <v>6</v>
      </c>
      <c r="G11" s="48" t="s">
        <v>11</v>
      </c>
      <c r="H11" s="48" t="s">
        <v>12</v>
      </c>
      <c r="I11" s="49">
        <v>95</v>
      </c>
      <c r="J11" s="50"/>
      <c r="K11" s="47">
        <v>1</v>
      </c>
      <c r="L11" s="64">
        <f>EXP( VLOOKUP(1, Intercepts!A$2:R$2, P$3, FALSE) + VLOOKUP(C11, Age!A$13:R$103, P$3, FALSE) + VLOOKUP(D11, Sex!A$2:R$4, P$3, FALSE) + VLOOKUP(E11, AdmitScore!A$2:R$103, P$3, FALSE) + VLOOKUP(F11, AdmitPain!A$2:R$13, P$3, FALSE) + VLOOKUP(G11, Payer!A$2:R$7, P$3, FALSE) + VLOOKUP(H11, TxType!A$2:R$3, P$3, FALSE) + VLOOKUP('Patient Data'!I11, Duration!A$2:T$6, P$3+2, TRUE) )/(1+EXP( VLOOKUP(1, Intercepts!A$2:R$2, P$3, FALSE) + VLOOKUP(C11, Age!A$2:R$103, P$3, FALSE) + VLOOKUP(D11, Sex!A$2:R$4, P$3, FALSE) + VLOOKUP(E11, AdmitScore!A$2:R$103, P$3, FALSE) + VLOOKUP(F11, AdmitPain!A$2:R$13, P$3, FALSE) + VLOOKUP(G11, Payer!A$2:R$7, P$3, FALSE) + VLOOKUP(H11, TxType!A$2:R$3, P$3, FALSE) + VLOOKUP('Patient Data'!I11, Duration!A$2:T$6, P$3+2, TRUE) ))</f>
        <v>0.48702760194023448</v>
      </c>
      <c r="M11" s="51">
        <f t="shared" si="0"/>
        <v>1</v>
      </c>
      <c r="N11" s="52"/>
      <c r="O11" s="60" t="s">
        <v>29</v>
      </c>
      <c r="P11" s="61">
        <v>7</v>
      </c>
      <c r="Q11" s="45"/>
      <c r="R11" s="53" t="s">
        <v>67</v>
      </c>
      <c r="S11" s="2"/>
      <c r="T11" s="2"/>
      <c r="U11" s="2"/>
      <c r="V11" s="2"/>
      <c r="W11" s="2"/>
      <c r="X11" s="2"/>
      <c r="Y11" s="2"/>
    </row>
    <row r="12" spans="2:25" ht="16" x14ac:dyDescent="0.2">
      <c r="B12" s="47" t="s">
        <v>27</v>
      </c>
      <c r="C12" s="48">
        <v>22</v>
      </c>
      <c r="D12" s="48" t="s">
        <v>10</v>
      </c>
      <c r="E12" s="48">
        <v>45</v>
      </c>
      <c r="F12" s="48">
        <v>7</v>
      </c>
      <c r="G12" s="48" t="s">
        <v>28</v>
      </c>
      <c r="H12" s="48" t="s">
        <v>12</v>
      </c>
      <c r="I12" s="49">
        <v>100</v>
      </c>
      <c r="J12" s="50"/>
      <c r="K12" s="47">
        <v>1</v>
      </c>
      <c r="L12" s="64">
        <f>EXP( VLOOKUP(1, Intercepts!A$2:R$2, P$3, FALSE) + VLOOKUP(C12, Age!A$13:R$103, P$3, FALSE) + VLOOKUP(D12, Sex!A$2:R$4, P$3, FALSE) + VLOOKUP(E12, AdmitScore!A$2:R$103, P$3, FALSE) + VLOOKUP(F12, AdmitPain!A$2:R$13, P$3, FALSE) + VLOOKUP(G12, Payer!A$2:R$7, P$3, FALSE) + VLOOKUP(H12, TxType!A$2:R$3, P$3, FALSE) + VLOOKUP('Patient Data'!I12, Duration!A$2:T$6, P$3+2, TRUE) )/(1+EXP( VLOOKUP(1, Intercepts!A$2:R$2, P$3, FALSE) + VLOOKUP(C12, Age!A$2:R$103, P$3, FALSE) + VLOOKUP(D12, Sex!A$2:R$4, P$3, FALSE) + VLOOKUP(E12, AdmitScore!A$2:R$103, P$3, FALSE) + VLOOKUP(F12, AdmitPain!A$2:R$13, P$3, FALSE) + VLOOKUP(G12, Payer!A$2:R$7, P$3, FALSE) + VLOOKUP(H12, TxType!A$2:R$3, P$3, FALSE) + VLOOKUP('Patient Data'!I12, Duration!A$2:T$6, P$3+2, TRUE) ))</f>
        <v>0.64001284797754709</v>
      </c>
      <c r="M12" s="51">
        <f t="shared" si="0"/>
        <v>1</v>
      </c>
      <c r="N12" s="52"/>
      <c r="O12" s="60" t="s">
        <v>31</v>
      </c>
      <c r="P12" s="61">
        <v>8</v>
      </c>
      <c r="Q12" s="45"/>
      <c r="R12" s="53" t="s">
        <v>68</v>
      </c>
      <c r="S12" s="2"/>
      <c r="T12" s="2"/>
      <c r="U12" s="2"/>
      <c r="V12" s="2"/>
      <c r="W12" s="2"/>
      <c r="X12" s="2"/>
      <c r="Y12" s="2"/>
    </row>
    <row r="13" spans="2:25" ht="16" x14ac:dyDescent="0.2">
      <c r="B13" s="47" t="s">
        <v>30</v>
      </c>
      <c r="C13" s="48">
        <v>33</v>
      </c>
      <c r="D13" s="48" t="s">
        <v>14</v>
      </c>
      <c r="E13" s="48">
        <v>50</v>
      </c>
      <c r="F13" s="48">
        <v>8</v>
      </c>
      <c r="G13" s="48" t="s">
        <v>11</v>
      </c>
      <c r="H13" s="48" t="s">
        <v>12</v>
      </c>
      <c r="I13" s="49">
        <v>110</v>
      </c>
      <c r="J13" s="50"/>
      <c r="K13" s="47">
        <v>0</v>
      </c>
      <c r="L13" s="64">
        <f>EXP( VLOOKUP(1, Intercepts!A$2:R$2, P$3, FALSE) + VLOOKUP(C13, Age!A$13:R$103, P$3, FALSE) + VLOOKUP(D13, Sex!A$2:R$4, P$3, FALSE) + VLOOKUP(E13, AdmitScore!A$2:R$103, P$3, FALSE) + VLOOKUP(F13, AdmitPain!A$2:R$13, P$3, FALSE) + VLOOKUP(G13, Payer!A$2:R$7, P$3, FALSE) + VLOOKUP(H13, TxType!A$2:R$3, P$3, FALSE) + VLOOKUP('Patient Data'!I13, Duration!A$2:T$6, P$3+2, TRUE) )/(1+EXP( VLOOKUP(1, Intercepts!A$2:R$2, P$3, FALSE) + VLOOKUP(C13, Age!A$2:R$103, P$3, FALSE) + VLOOKUP(D13, Sex!A$2:R$4, P$3, FALSE) + VLOOKUP(E13, AdmitScore!A$2:R$103, P$3, FALSE) + VLOOKUP(F13, AdmitPain!A$2:R$13, P$3, FALSE) + VLOOKUP(G13, Payer!A$2:R$7, P$3, FALSE) + VLOOKUP(H13, TxType!A$2:R$3, P$3, FALSE) + VLOOKUP('Patient Data'!I13, Duration!A$2:T$6, P$3+2, TRUE) ))</f>
        <v>0.68861124598495449</v>
      </c>
      <c r="M13" s="51">
        <f t="shared" si="0"/>
        <v>0</v>
      </c>
      <c r="N13" s="52"/>
      <c r="O13" s="60" t="s">
        <v>34</v>
      </c>
      <c r="P13" s="61">
        <v>9</v>
      </c>
      <c r="Q13" s="45"/>
      <c r="R13" s="53" t="s">
        <v>95</v>
      </c>
      <c r="S13" s="2"/>
      <c r="T13" s="2"/>
      <c r="U13" s="2"/>
      <c r="V13" s="2"/>
      <c r="W13" s="2"/>
      <c r="X13" s="2"/>
      <c r="Y13" s="2"/>
    </row>
    <row r="14" spans="2:25" ht="16" x14ac:dyDescent="0.2">
      <c r="B14" s="47" t="s">
        <v>32</v>
      </c>
      <c r="C14" s="48">
        <v>25</v>
      </c>
      <c r="D14" s="48" t="s">
        <v>10</v>
      </c>
      <c r="E14" s="48">
        <v>55</v>
      </c>
      <c r="F14" s="48">
        <v>9</v>
      </c>
      <c r="G14" s="48" t="s">
        <v>11</v>
      </c>
      <c r="H14" s="48" t="s">
        <v>12</v>
      </c>
      <c r="I14" s="49" t="s">
        <v>33</v>
      </c>
      <c r="J14" s="50"/>
      <c r="K14" s="47">
        <v>0</v>
      </c>
      <c r="L14" s="64">
        <f>EXP( VLOOKUP(1, Intercepts!A$2:R$2, P$3, FALSE) + VLOOKUP(C14, Age!A$13:R$103, P$3, FALSE) + VLOOKUP(D14, Sex!A$2:R$4, P$3, FALSE) + VLOOKUP(E14, AdmitScore!A$2:R$103, P$3, FALSE) + VLOOKUP(F14, AdmitPain!A$2:R$13, P$3, FALSE) + VLOOKUP(G14, Payer!A$2:R$7, P$3, FALSE) + VLOOKUP(H14, TxType!A$2:R$3, P$3, FALSE) + VLOOKUP('Patient Data'!I14, Duration!A$2:T$6, P$3+2, TRUE) )/(1+EXP( VLOOKUP(1, Intercepts!A$2:R$2, P$3, FALSE) + VLOOKUP(C14, Age!A$2:R$103, P$3, FALSE) + VLOOKUP(D14, Sex!A$2:R$4, P$3, FALSE) + VLOOKUP(E14, AdmitScore!A$2:R$103, P$3, FALSE) + VLOOKUP(F14, AdmitPain!A$2:R$13, P$3, FALSE) + VLOOKUP(G14, Payer!A$2:R$7, P$3, FALSE) + VLOOKUP(H14, TxType!A$2:R$3, P$3, FALSE) + VLOOKUP('Patient Data'!I14, Duration!A$2:T$6, P$3+2, TRUE) ))</f>
        <v>0.87981291161496522</v>
      </c>
      <c r="M14" s="51">
        <f t="shared" si="0"/>
        <v>0</v>
      </c>
      <c r="N14" s="52"/>
      <c r="O14" s="60" t="s">
        <v>36</v>
      </c>
      <c r="P14" s="61">
        <v>10</v>
      </c>
      <c r="Q14" s="45"/>
      <c r="R14" s="53" t="s">
        <v>70</v>
      </c>
      <c r="S14" s="2"/>
      <c r="T14" s="2"/>
      <c r="U14" s="2"/>
      <c r="V14" s="2"/>
      <c r="W14" s="2"/>
      <c r="X14" s="2"/>
      <c r="Y14" s="2"/>
    </row>
    <row r="15" spans="2:25" ht="16" x14ac:dyDescent="0.2">
      <c r="B15" s="47" t="s">
        <v>35</v>
      </c>
      <c r="C15" s="48">
        <v>30</v>
      </c>
      <c r="D15" s="48" t="s">
        <v>10</v>
      </c>
      <c r="E15" s="48">
        <v>60</v>
      </c>
      <c r="F15" s="48">
        <v>10</v>
      </c>
      <c r="G15" s="48" t="s">
        <v>11</v>
      </c>
      <c r="H15" s="48" t="s">
        <v>12</v>
      </c>
      <c r="I15" s="49">
        <v>400</v>
      </c>
      <c r="J15" s="50"/>
      <c r="K15" s="47">
        <v>0</v>
      </c>
      <c r="L15" s="64">
        <f>EXP( VLOOKUP(1, Intercepts!A$2:R$2, P$3, FALSE) + VLOOKUP(C15, Age!A$13:R$103, P$3, FALSE) + VLOOKUP(D15, Sex!A$2:R$4, P$3, FALSE) + VLOOKUP(E15, AdmitScore!A$2:R$103, P$3, FALSE) + VLOOKUP(F15, AdmitPain!A$2:R$13, P$3, FALSE) + VLOOKUP(G15, Payer!A$2:R$7, P$3, FALSE) + VLOOKUP(H15, TxType!A$2:R$3, P$3, FALSE) + VLOOKUP('Patient Data'!I15, Duration!A$2:T$6, P$3+2, TRUE) )/(1+EXP( VLOOKUP(1, Intercepts!A$2:R$2, P$3, FALSE) + VLOOKUP(C15, Age!A$2:R$103, P$3, FALSE) + VLOOKUP(D15, Sex!A$2:R$4, P$3, FALSE) + VLOOKUP(E15, AdmitScore!A$3:R$103, P$3, FALSE) + VLOOKUP(F15, AdmitPain!A$2:R$13, P$3, FALSE) + VLOOKUP(G15, Payer!A$2:R$7, P$3, FALSE) + VLOOKUP(H15, TxType!A$2:R$3, P$3, FALSE) + VLOOKUP('Patient Data'!I15, Duration!A$2:T$6, P$3+2, TRUE) ))</f>
        <v>0.826288532552657</v>
      </c>
      <c r="M15" s="51">
        <f t="shared" si="0"/>
        <v>0</v>
      </c>
      <c r="N15" s="52"/>
      <c r="O15" s="60" t="s">
        <v>38</v>
      </c>
      <c r="P15" s="61">
        <v>11</v>
      </c>
      <c r="Q15" s="45"/>
      <c r="R15" s="53" t="s">
        <v>71</v>
      </c>
      <c r="S15" s="2"/>
      <c r="T15" s="2"/>
      <c r="U15" s="2"/>
      <c r="V15" s="2"/>
      <c r="W15" s="2"/>
      <c r="X15" s="2"/>
      <c r="Y15" s="2"/>
    </row>
    <row r="16" spans="2:25" ht="16" x14ac:dyDescent="0.2">
      <c r="B16" s="47" t="s">
        <v>37</v>
      </c>
      <c r="C16" s="48">
        <v>35</v>
      </c>
      <c r="D16" s="48" t="s">
        <v>10</v>
      </c>
      <c r="E16" s="48">
        <v>65</v>
      </c>
      <c r="F16" s="48">
        <v>0</v>
      </c>
      <c r="G16" s="48" t="s">
        <v>11</v>
      </c>
      <c r="H16" s="48" t="s">
        <v>12</v>
      </c>
      <c r="I16" s="49" t="s">
        <v>33</v>
      </c>
      <c r="J16" s="50"/>
      <c r="K16" s="47">
        <v>1</v>
      </c>
      <c r="L16" s="64">
        <f>EXP( VLOOKUP(1, Intercepts!A$2:R$2, P$3, FALSE) + VLOOKUP(C16, Age!A$13:R$103, P$3, FALSE) + VLOOKUP(D16, Sex!A$2:R$4, P$3, FALSE) + VLOOKUP(E16, AdmitScore!A$2:R$103, P$3, FALSE) + VLOOKUP(F16, AdmitPain!A$2:R$13, P$3, FALSE) + VLOOKUP(G16, Payer!A$2:R$7, P$3, FALSE) + VLOOKUP(H16, TxType!A$2:R$3, P$3, FALSE) + VLOOKUP('Patient Data'!I16, Duration!A$2:T$6, P$3+2, TRUE) )/(1+EXP( VLOOKUP(1, Intercepts!A$2:R$2, P$3, FALSE) + VLOOKUP(C16, Age!A$2:R$103, P$3, FALSE) + VLOOKUP(D16, Sex!A$2:R$4, P$3, FALSE) + VLOOKUP(E16, AdmitScore!A$2:R$103, P$3, FALSE) + VLOOKUP(F16, AdmitPain!A$2:R$13, P$3, FALSE) + VLOOKUP(G16, Payer!A$2:R$7, P$3, FALSE) + VLOOKUP(H16, TxType!A$2:R$3, P$3, FALSE) + VLOOKUP('Patient Data'!I16, Duration!A$2:T$6, P$3+2, TRUE) ))</f>
        <v>0.22859621833920377</v>
      </c>
      <c r="M16" s="51">
        <f t="shared" si="0"/>
        <v>1</v>
      </c>
      <c r="N16" s="52"/>
      <c r="O16" s="60" t="s">
        <v>41</v>
      </c>
      <c r="P16" s="61">
        <v>12</v>
      </c>
      <c r="Q16" s="45"/>
      <c r="R16" s="53" t="s">
        <v>72</v>
      </c>
      <c r="S16" s="2"/>
      <c r="T16" s="2"/>
      <c r="U16" s="2"/>
      <c r="V16" s="2"/>
      <c r="W16" s="2"/>
      <c r="X16" s="2"/>
      <c r="Y16" s="2"/>
    </row>
    <row r="17" spans="2:25" ht="16" x14ac:dyDescent="0.2">
      <c r="B17" s="47" t="s">
        <v>39</v>
      </c>
      <c r="C17" s="48">
        <v>40</v>
      </c>
      <c r="D17" s="48" t="s">
        <v>10</v>
      </c>
      <c r="E17" s="48">
        <v>70</v>
      </c>
      <c r="F17" s="48">
        <v>1</v>
      </c>
      <c r="G17" s="48" t="s">
        <v>40</v>
      </c>
      <c r="H17" s="48" t="s">
        <v>12</v>
      </c>
      <c r="I17" s="49">
        <v>5</v>
      </c>
      <c r="J17" s="50"/>
      <c r="K17" s="47">
        <v>0</v>
      </c>
      <c r="L17" s="64">
        <f>EXP( VLOOKUP(1, Intercepts!A$2:R$2, P$3, FALSE) + VLOOKUP(C17, Age!A$13:R$103, P$3, FALSE) + VLOOKUP(D17, Sex!A$2:R$4, P$3, FALSE) + VLOOKUP(E17, AdmitScore!A$2:R$103, P$3, FALSE) + VLOOKUP(F17, AdmitPain!A$2:R$13, P$3, FALSE) + VLOOKUP(G17, Payer!A$2:R$7, P$3, FALSE) + VLOOKUP(H17, TxType!A$2:R$3, P$3, FALSE) + VLOOKUP('Patient Data'!I17, Duration!A$2:T$6, P$3+2, TRUE) )/(1+EXP( VLOOKUP(1, Intercepts!A$2:R$2, P$3, FALSE) + VLOOKUP(C17, Age!A$2:R$103, P$3, FALSE) + VLOOKUP(D17, Sex!A$2:R$4, P$3, FALSE) + VLOOKUP(E17, AdmitScore!A$3:R$103, P$3, FALSE) + VLOOKUP(F17, AdmitPain!A$2:R$13, P$3, FALSE) + VLOOKUP(G17, Payer!A$2:R$7, P$3, FALSE) + VLOOKUP(H17, TxType!A$2:R$3, P$3, FALSE) + VLOOKUP('Patient Data'!I17, Duration!A$2:T$6, P$3+2, TRUE) ))</f>
        <v>0.27549957118142071</v>
      </c>
      <c r="M17" s="51">
        <f t="shared" si="0"/>
        <v>1</v>
      </c>
      <c r="N17" s="52"/>
      <c r="O17" s="60" t="s">
        <v>43</v>
      </c>
      <c r="P17" s="61">
        <v>13</v>
      </c>
      <c r="Q17" s="45"/>
      <c r="R17" s="53" t="s">
        <v>73</v>
      </c>
      <c r="S17" s="2"/>
      <c r="T17" s="2"/>
      <c r="U17" s="2"/>
      <c r="V17" s="2"/>
      <c r="W17" s="2"/>
      <c r="X17" s="2"/>
      <c r="Y17" s="2"/>
    </row>
    <row r="18" spans="2:25" ht="16" x14ac:dyDescent="0.2">
      <c r="B18" s="47" t="s">
        <v>42</v>
      </c>
      <c r="C18" s="48">
        <v>45</v>
      </c>
      <c r="D18" s="48" t="s">
        <v>10</v>
      </c>
      <c r="E18" s="48">
        <v>75</v>
      </c>
      <c r="F18" s="48">
        <v>2</v>
      </c>
      <c r="G18" s="48" t="s">
        <v>11</v>
      </c>
      <c r="H18" s="48" t="s">
        <v>12</v>
      </c>
      <c r="I18" s="49">
        <v>6</v>
      </c>
      <c r="J18" s="50"/>
      <c r="K18" s="47">
        <v>0</v>
      </c>
      <c r="L18" s="64">
        <f>EXP( VLOOKUP(1, Intercepts!A$2:R$2, P$3, FALSE) + VLOOKUP(C18, Age!A$13:R$103, P$3, FALSE) + VLOOKUP(D18, Sex!A$2:R$4, P$3, FALSE) + VLOOKUP(E18, AdmitScore!A$2:R$103, P$3, FALSE) + VLOOKUP(F18, AdmitPain!A$2:R$13, P$3, FALSE) + VLOOKUP(G18, Payer!A$2:R$7, P$3, FALSE) + VLOOKUP(H18, TxType!A$2:R$3, P$3, FALSE) + VLOOKUP('Patient Data'!I18, Duration!A$2:T$6, P$3+2, TRUE) )/(1+EXP( VLOOKUP(1, Intercepts!A$2:R$2, P$3, FALSE) + VLOOKUP(C18, Age!A$2:R$103, P$3, FALSE) + VLOOKUP(D18, Sex!A$2:R$4, P$3, FALSE) + VLOOKUP(E18, AdmitScore!A$2:R$103, P$3, FALSE) + VLOOKUP(F18, AdmitPain!A$2:R$13, P$3, FALSE) + VLOOKUP(G18, Payer!A$2:R$7, P$3, FALSE) + VLOOKUP(H18, TxType!A$2:R$3, P$3, FALSE) + VLOOKUP('Patient Data'!I18, Duration!A$2:T$6, P$3+2, TRUE) ))</f>
        <v>0.36144032978458723</v>
      </c>
      <c r="M18" s="51">
        <f t="shared" si="0"/>
        <v>0</v>
      </c>
      <c r="N18" s="52"/>
      <c r="O18" s="60" t="s">
        <v>46</v>
      </c>
      <c r="P18" s="61">
        <v>14</v>
      </c>
      <c r="Q18" s="45"/>
      <c r="R18" s="53" t="s">
        <v>74</v>
      </c>
      <c r="S18" s="2"/>
      <c r="T18" s="2"/>
      <c r="U18" s="2"/>
      <c r="V18" s="2"/>
      <c r="W18" s="2"/>
      <c r="X18" s="2"/>
      <c r="Y18" s="2"/>
    </row>
    <row r="19" spans="2:25" ht="16" x14ac:dyDescent="0.2">
      <c r="B19" s="47" t="s">
        <v>44</v>
      </c>
      <c r="C19" s="48">
        <v>50</v>
      </c>
      <c r="D19" s="48" t="s">
        <v>10</v>
      </c>
      <c r="E19" s="48">
        <v>80</v>
      </c>
      <c r="F19" s="48">
        <v>3</v>
      </c>
      <c r="G19" s="48" t="s">
        <v>11</v>
      </c>
      <c r="H19" s="48" t="s">
        <v>12</v>
      </c>
      <c r="I19" s="49">
        <v>7</v>
      </c>
      <c r="J19" s="50"/>
      <c r="K19" s="47">
        <v>0</v>
      </c>
      <c r="L19" s="64">
        <f>EXP( VLOOKUP(1, Intercepts!A$2:R$2, P$3, FALSE) + VLOOKUP(C19, Age!A$13:R$103, P$3, FALSE) + VLOOKUP(D19, Sex!A$2:R$4, P$3, FALSE) + VLOOKUP(E19, AdmitScore!A$2:R$103, P$3, FALSE) + VLOOKUP(F19, AdmitPain!A$2:R$13, P$3, FALSE) + VLOOKUP(G19, Payer!A$2:R$7, P$3, FALSE) + VLOOKUP(H19, TxType!A$2:R$3, P$3, FALSE) + VLOOKUP('Patient Data'!I19, Duration!A$2:T$6, P$3+2, TRUE) )/(1+EXP( VLOOKUP(1, Intercepts!A$2:R$2, P$3, FALSE) + VLOOKUP(C19, Age!A$2:R$103, P$3, FALSE) + VLOOKUP(D19, Sex!A$2:R$4, P$3, FALSE) + VLOOKUP(E19, AdmitScore!A$2:R$103, P$3, FALSE) + VLOOKUP(F19, AdmitPain!A$2:R$13, P$3, FALSE) + VLOOKUP(G19, Payer!A$2:R$7, P$3, FALSE) + VLOOKUP(H19, TxType!A$2:R$3, P$3, FALSE) + VLOOKUP('Patient Data'!I19, Duration!A$2:T$6, P$3+2, TRUE) ))</f>
        <v>0.4399235725179908</v>
      </c>
      <c r="M19" s="51">
        <f t="shared" si="0"/>
        <v>0</v>
      </c>
      <c r="N19" s="52"/>
      <c r="O19" s="60" t="s">
        <v>49</v>
      </c>
      <c r="P19" s="61">
        <v>15</v>
      </c>
      <c r="Q19" s="45"/>
      <c r="R19" s="53" t="s">
        <v>75</v>
      </c>
      <c r="S19" s="2"/>
      <c r="T19" s="2"/>
      <c r="U19" s="2"/>
      <c r="V19" s="2"/>
      <c r="W19" s="2"/>
      <c r="X19" s="2"/>
      <c r="Y19" s="2"/>
    </row>
    <row r="20" spans="2:25" ht="16" x14ac:dyDescent="0.2">
      <c r="B20" s="47" t="s">
        <v>45</v>
      </c>
      <c r="C20" s="48">
        <v>55</v>
      </c>
      <c r="D20" s="48" t="s">
        <v>14</v>
      </c>
      <c r="E20" s="48">
        <v>85</v>
      </c>
      <c r="F20" s="48">
        <v>4</v>
      </c>
      <c r="G20" s="48" t="s">
        <v>11</v>
      </c>
      <c r="H20" s="48" t="s">
        <v>12</v>
      </c>
      <c r="I20" s="49">
        <v>8</v>
      </c>
      <c r="J20" s="50"/>
      <c r="K20" s="47">
        <v>0</v>
      </c>
      <c r="L20" s="64">
        <f>EXP( VLOOKUP(1, Intercepts!A$2:R$2, P$3, FALSE) + VLOOKUP(C20, Age!A$13:R$103, P$3, FALSE) + VLOOKUP(D20, Sex!A$2:R$4, P$3, FALSE) + VLOOKUP(E20, AdmitScore!A$2:R$103, P$3, FALSE) + VLOOKUP(F20, AdmitPain!A$2:R$13, P$3, FALSE) + VLOOKUP(G20, Payer!A$2:R$7, P$3, FALSE) + VLOOKUP(H20, TxType!A$2:R$3, P$3, FALSE) + VLOOKUP('Patient Data'!I20, Duration!A$2:T$6, P$3+2, TRUE) )/(1+EXP( VLOOKUP(1, Intercepts!A$2:R$2, P$3, FALSE) + VLOOKUP(C20, Age!A$2:R$103, P$3, FALSE) + VLOOKUP(D20, Sex!A$2:R$4, P$3, FALSE) + VLOOKUP(E20, AdmitScore!A$3:R$103, P$3, FALSE) + VLOOKUP(F20, AdmitPain!A$2:R$13, P$3, FALSE) + VLOOKUP(G20, Payer!A$2:R$7, P$3, FALSE) + VLOOKUP(H20, TxType!A$2:R$3, P$3, FALSE) + VLOOKUP('Patient Data'!I20, Duration!A$2:T$6, P$3+2, TRUE) ))</f>
        <v>0.50976202971220397</v>
      </c>
      <c r="M20" s="51">
        <f t="shared" si="0"/>
        <v>0</v>
      </c>
      <c r="N20" s="52"/>
      <c r="O20" s="60" t="s">
        <v>52</v>
      </c>
      <c r="P20" s="61">
        <v>16</v>
      </c>
      <c r="Q20" s="45"/>
      <c r="R20" s="53" t="s">
        <v>76</v>
      </c>
      <c r="S20" s="2"/>
      <c r="T20" s="2"/>
      <c r="U20" s="2"/>
      <c r="V20" s="2"/>
      <c r="W20" s="2"/>
      <c r="X20" s="2"/>
      <c r="Y20" s="2"/>
    </row>
    <row r="21" spans="2:25" ht="16" x14ac:dyDescent="0.2">
      <c r="B21" s="47" t="s">
        <v>47</v>
      </c>
      <c r="C21" s="48">
        <v>60</v>
      </c>
      <c r="D21" s="48" t="s">
        <v>10</v>
      </c>
      <c r="E21" s="48">
        <v>90</v>
      </c>
      <c r="F21" s="48">
        <v>5</v>
      </c>
      <c r="G21" s="48" t="s">
        <v>11</v>
      </c>
      <c r="H21" s="48" t="s">
        <v>48</v>
      </c>
      <c r="I21" s="49">
        <v>9</v>
      </c>
      <c r="J21" s="50"/>
      <c r="K21" s="47">
        <v>0</v>
      </c>
      <c r="L21" s="64">
        <f>EXP( VLOOKUP(1, Intercepts!A$2:R$2, P$3, FALSE) + VLOOKUP(C21, Age!A$13:R$103, P$3, FALSE) + VLOOKUP(D21, Sex!A$2:R$4, P$3, FALSE) + VLOOKUP(E21, AdmitScore!A$2:R$103, P$3, FALSE) + VLOOKUP(F21, AdmitPain!A$2:R$13, P$3, FALSE) + VLOOKUP(G21, Payer!A$2:R$7, P$3, FALSE) + VLOOKUP(H21, TxType!A$2:R$3, P$3, FALSE) + VLOOKUP('Patient Data'!I21, Duration!A$2:T$6, P$3+2, TRUE) )/(1+EXP( VLOOKUP(1, Intercepts!A$2:R$2, P$3, FALSE) + VLOOKUP(C21, Age!A$2:R$103, P$3, FALSE) + VLOOKUP(D21, Sex!A$2:R$4, P$3, FALSE) + VLOOKUP(E21, AdmitScore!A$2:R$103, P$3, FALSE) + VLOOKUP(F21, AdmitPain!A$2:R$13, P$3, FALSE) + VLOOKUP(G21, Payer!A$2:R$7, P$3, FALSE) + VLOOKUP(H21, TxType!A$2:R$3, P$3, FALSE) + VLOOKUP('Patient Data'!I21, Duration!A$2:T$6, P$3+2, TRUE) ))</f>
        <v>0.40487438126735381</v>
      </c>
      <c r="M21" s="51">
        <f t="shared" si="0"/>
        <v>0</v>
      </c>
      <c r="N21" s="52"/>
      <c r="O21" s="60" t="s">
        <v>54</v>
      </c>
      <c r="P21" s="61">
        <v>17</v>
      </c>
      <c r="Q21" s="45"/>
      <c r="R21" s="53" t="s">
        <v>77</v>
      </c>
      <c r="S21" s="2"/>
      <c r="T21" s="2"/>
      <c r="U21" s="2"/>
      <c r="V21" s="2"/>
      <c r="W21" s="2"/>
      <c r="X21" s="2"/>
      <c r="Y21" s="2"/>
    </row>
    <row r="22" spans="2:25" ht="17" thickBot="1" x14ac:dyDescent="0.25">
      <c r="B22" s="47" t="s">
        <v>50</v>
      </c>
      <c r="C22" s="48">
        <v>65</v>
      </c>
      <c r="D22" s="48" t="s">
        <v>10</v>
      </c>
      <c r="E22" s="48">
        <v>95</v>
      </c>
      <c r="F22" s="48">
        <v>6</v>
      </c>
      <c r="G22" s="48" t="s">
        <v>51</v>
      </c>
      <c r="H22" s="48" t="s">
        <v>48</v>
      </c>
      <c r="I22" s="49">
        <v>10</v>
      </c>
      <c r="J22" s="50"/>
      <c r="K22" s="47">
        <v>1</v>
      </c>
      <c r="L22" s="64">
        <f>EXP( VLOOKUP(1, Intercepts!A$2:R$2, P$3, FALSE) + VLOOKUP(C22, Age!A$13:R$103, P$3, FALSE) + VLOOKUP(D22, Sex!A$2:R$4, P$3, FALSE) + VLOOKUP(E22, AdmitScore!A$2:R$103, P$3, FALSE) + VLOOKUP(F22, AdmitPain!A$2:R$13, P$3, FALSE) + VLOOKUP(G22, Payer!A$2:R$7, P$3, FALSE) + VLOOKUP(H22, TxType!A$2:R$3, P$3, FALSE) + VLOOKUP('Patient Data'!I22, Duration!A$2:T$6, P$3+2, TRUE) )/(1+EXP( VLOOKUP(1, Intercepts!A$2:R$2, P$3, FALSE) + VLOOKUP(C22, Age!A$2:R$103, P$3, FALSE) + VLOOKUP(D22, Sex!A$2:R$4, P$3, FALSE) + VLOOKUP(E22, AdmitScore!A$2:R$103, P$3, FALSE) + VLOOKUP(F22, AdmitPain!A$2:R$13, P$3, FALSE) + VLOOKUP(G22, Payer!A$2:R$7, P$3, FALSE) + VLOOKUP(H22, TxType!A$2:R$3, P$3, FALSE) + VLOOKUP('Patient Data'!I22, Duration!A$2:T$6, P$3+2, TRUE) ))</f>
        <v>0.31533291422970133</v>
      </c>
      <c r="M22" s="51">
        <f t="shared" si="0"/>
        <v>1</v>
      </c>
      <c r="N22" s="52"/>
      <c r="O22" s="62" t="s">
        <v>56</v>
      </c>
      <c r="P22" s="63">
        <v>18</v>
      </c>
      <c r="Q22" s="54"/>
      <c r="R22" s="55" t="s">
        <v>78</v>
      </c>
      <c r="S22" s="2"/>
      <c r="T22" s="2"/>
      <c r="U22" s="2"/>
      <c r="V22" s="2"/>
      <c r="W22" s="2"/>
      <c r="X22" s="2"/>
      <c r="Y22" s="2"/>
    </row>
    <row r="23" spans="2:25" ht="16" x14ac:dyDescent="0.2">
      <c r="B23" s="47" t="s">
        <v>53</v>
      </c>
      <c r="C23" s="48">
        <v>70</v>
      </c>
      <c r="D23" s="48" t="s">
        <v>10</v>
      </c>
      <c r="E23" s="48">
        <v>41</v>
      </c>
      <c r="F23" s="48">
        <v>7</v>
      </c>
      <c r="G23" s="48" t="s">
        <v>11</v>
      </c>
      <c r="H23" s="48" t="s">
        <v>48</v>
      </c>
      <c r="I23" s="49">
        <v>11</v>
      </c>
      <c r="J23" s="50"/>
      <c r="K23" s="47">
        <v>0</v>
      </c>
      <c r="L23" s="64">
        <f>EXP( VLOOKUP(1, Intercepts!A$2:R$2, P$3, FALSE) + VLOOKUP(C23, Age!A$13:R$103, P$3, FALSE) + VLOOKUP(D23, Sex!A$2:R$4, P$3, FALSE) + VLOOKUP(E23, AdmitScore!A$2:R$103, P$3, FALSE) + VLOOKUP(F23, AdmitPain!A$2:R$13, P$3, FALSE) + VLOOKUP(G23, Payer!A$2:R$7, P$3, FALSE) + VLOOKUP(H23, TxType!A$2:R$3, P$3, FALSE) + VLOOKUP('Patient Data'!I23, Duration!A$2:T$6, P$3+2, TRUE) )/(1+EXP( VLOOKUP(1, Intercepts!A$2:R$2, P$3, FALSE) + VLOOKUP(C23, Age!A$2:R$103, P$3, FALSE) + VLOOKUP(D23, Sex!A$2:R$4, P$3, FALSE) + VLOOKUP(E23, AdmitScore!A$2:R$103, P$3, FALSE) + VLOOKUP(F23, AdmitPain!A$2:R$13, P$3, FALSE) + VLOOKUP(G23, Payer!A$2:R$7, P$3, FALSE) + VLOOKUP(H23, TxType!A$2:R$3, P$3, FALSE) + VLOOKUP('Patient Data'!I23, Duration!A$2:T$6, P$3+2, TRUE) ))</f>
        <v>0.56990442843127997</v>
      </c>
      <c r="M23" s="51">
        <f t="shared" si="0"/>
        <v>0</v>
      </c>
      <c r="N23" s="52"/>
      <c r="O23" s="50"/>
      <c r="P23" s="50"/>
      <c r="Q23" s="50"/>
      <c r="R23" s="50"/>
      <c r="S23" s="2"/>
      <c r="T23" s="2"/>
      <c r="U23" s="2"/>
      <c r="V23" s="2"/>
      <c r="W23" s="2"/>
      <c r="X23" s="2"/>
      <c r="Y23" s="2"/>
    </row>
    <row r="24" spans="2:25" ht="16" x14ac:dyDescent="0.2">
      <c r="B24" s="47" t="s">
        <v>55</v>
      </c>
      <c r="C24" s="48">
        <v>75</v>
      </c>
      <c r="D24" s="48" t="s">
        <v>10</v>
      </c>
      <c r="E24" s="48">
        <v>42</v>
      </c>
      <c r="F24" s="48">
        <v>8</v>
      </c>
      <c r="G24" s="48" t="s">
        <v>11</v>
      </c>
      <c r="H24" s="48" t="s">
        <v>48</v>
      </c>
      <c r="I24" s="49">
        <v>14</v>
      </c>
      <c r="J24" s="50"/>
      <c r="K24" s="47">
        <v>0</v>
      </c>
      <c r="L24" s="64">
        <f>EXP( VLOOKUP(1, Intercepts!A$2:R$2, P$3, FALSE) + VLOOKUP(C24, Age!A$13:R$103, P$3, FALSE) + VLOOKUP(D24, Sex!A$2:R$4, P$3, FALSE) + VLOOKUP(E24, AdmitScore!A$2:R$103, P$3, FALSE) + VLOOKUP(F24, AdmitPain!A$2:R$13, P$3, FALSE) + VLOOKUP(G24, Payer!A$2:R$7, P$3, FALSE) + VLOOKUP(H24, TxType!A$2:R$3, P$3, FALSE) + VLOOKUP('Patient Data'!I24, Duration!A$2:T$6, P$3+2, TRUE) )/(1+EXP( VLOOKUP(1, Intercepts!A$2:R$2, P$3, FALSE) + VLOOKUP(C24, Age!A$2:R$103, P$3, FALSE) + VLOOKUP(D24, Sex!A$2:R$4, P$3, FALSE) + VLOOKUP(E24, AdmitScore!A$2:R$103, P$3, FALSE) + VLOOKUP(F24, AdmitPain!A$2:R$13, P$3, FALSE) + VLOOKUP(G24, Payer!A$2:R$7, P$3, FALSE) + VLOOKUP(H24, TxType!A$2:R$3, P$3, FALSE) + VLOOKUP('Patient Data'!I24, Duration!A$2:T$6, P$3+2, TRUE) ))</f>
        <v>0.64940240658757953</v>
      </c>
      <c r="M24" s="51">
        <f t="shared" si="0"/>
        <v>0</v>
      </c>
      <c r="N24" s="52"/>
      <c r="O24" s="50"/>
      <c r="P24" s="50"/>
      <c r="Q24" s="50"/>
      <c r="R24" s="50"/>
      <c r="S24" s="2"/>
      <c r="T24" s="2"/>
      <c r="U24" s="2"/>
      <c r="V24" s="2"/>
      <c r="W24" s="2"/>
      <c r="X24" s="2"/>
      <c r="Y24" s="2"/>
    </row>
    <row r="25" spans="2:25" ht="16" x14ac:dyDescent="0.2">
      <c r="B25" s="47" t="s">
        <v>57</v>
      </c>
      <c r="C25" s="48">
        <v>46</v>
      </c>
      <c r="D25" s="48" t="s">
        <v>10</v>
      </c>
      <c r="E25" s="48">
        <v>43</v>
      </c>
      <c r="F25" s="48">
        <v>9</v>
      </c>
      <c r="G25" s="48" t="s">
        <v>11</v>
      </c>
      <c r="H25" s="48" t="s">
        <v>48</v>
      </c>
      <c r="I25" s="49">
        <v>13</v>
      </c>
      <c r="J25" s="50"/>
      <c r="K25" s="47">
        <v>0</v>
      </c>
      <c r="L25" s="64">
        <f>EXP( VLOOKUP(1, Intercepts!A$2:R$2, P$3, FALSE) + VLOOKUP(C25, Age!A$13:R$103, P$3, FALSE) + VLOOKUP(D25, Sex!A$2:R$4, P$3, FALSE) + VLOOKUP(E25, AdmitScore!A$2:R$103, P$3, FALSE) + VLOOKUP(F25, AdmitPain!A$2:R$13, P$3, FALSE) + VLOOKUP(G25, Payer!A$2:R$7, P$3, FALSE) + VLOOKUP(H25, TxType!A$2:R$3, P$3, FALSE) + VLOOKUP('Patient Data'!I25, Duration!A$2:T$6, P$3+2, TRUE) )/(1+EXP( VLOOKUP(1, Intercepts!A$2:R$2, P$3, FALSE) + VLOOKUP(C25, Age!A$2:R$103, P$3, FALSE) + VLOOKUP(D25, Sex!A$2:R$4, P$3, FALSE) + VLOOKUP(E25, AdmitScore!A$2:R$103, P$3, FALSE) + VLOOKUP(F25, AdmitPain!A$2:R$13, P$3, FALSE) + VLOOKUP(G25, Payer!A$2:R$7, P$3, FALSE) + VLOOKUP(H25, TxType!A$2:R$3, P$3, FALSE) + VLOOKUP('Patient Data'!I25, Duration!A$2:T$6, P$3+2, TRUE) ))</f>
        <v>0.74334668143420768</v>
      </c>
      <c r="M25" s="51">
        <f t="shared" si="0"/>
        <v>0</v>
      </c>
      <c r="N25" s="52"/>
      <c r="O25" s="50"/>
      <c r="P25" s="50"/>
      <c r="Q25" s="50"/>
      <c r="R25" s="50"/>
      <c r="S25" s="2"/>
      <c r="T25" s="2"/>
      <c r="U25" s="2"/>
      <c r="V25" s="2"/>
      <c r="W25" s="2"/>
      <c r="X25" s="2"/>
      <c r="Y25" s="2"/>
    </row>
    <row r="26" spans="2:25" ht="16" x14ac:dyDescent="0.2">
      <c r="B26" s="47" t="s">
        <v>58</v>
      </c>
      <c r="C26" s="48">
        <v>47</v>
      </c>
      <c r="D26" s="48" t="s">
        <v>10</v>
      </c>
      <c r="E26" s="48">
        <v>44</v>
      </c>
      <c r="F26" s="48">
        <v>10</v>
      </c>
      <c r="G26" s="48" t="s">
        <v>11</v>
      </c>
      <c r="H26" s="48" t="s">
        <v>48</v>
      </c>
      <c r="I26" s="49">
        <v>14</v>
      </c>
      <c r="J26" s="50"/>
      <c r="K26" s="47">
        <v>0</v>
      </c>
      <c r="L26" s="64">
        <f>EXP( VLOOKUP(1, Intercepts!A$2:R$2, P$3, FALSE) + VLOOKUP(C26, Age!A$13:R$103, P$3, FALSE) + VLOOKUP(D26, Sex!A$2:R$4, P$3, FALSE) + VLOOKUP(E26, AdmitScore!A$2:R$103, P$3, FALSE) + VLOOKUP(F26, AdmitPain!A$2:R$13, P$3, FALSE) + VLOOKUP(G26, Payer!A$2:R$7, P$3, FALSE) + VLOOKUP(H26, TxType!A$2:R$3, P$3, FALSE) + VLOOKUP('Patient Data'!I26, Duration!A$2:T$6, P$3+2, TRUE) )/(1+EXP( VLOOKUP(1, Intercepts!A$2:R$2, P$3, FALSE) + VLOOKUP(C26, Age!A$2:R$103, P$3, FALSE) + VLOOKUP(D26, Sex!A$2:R$4, P$3, FALSE) + VLOOKUP(E26, AdmitScore!A$2:R$103, P$3, FALSE) + VLOOKUP(F26, AdmitPain!A$2:R$13, P$3, FALSE) + VLOOKUP(G26, Payer!A$2:R$7, P$3, FALSE) + VLOOKUP(H26, TxType!A$2:R$3, P$3, FALSE) + VLOOKUP('Patient Data'!I26, Duration!A$2:T$6, P$3+2, TRUE) ))</f>
        <v>0.8034390340321873</v>
      </c>
      <c r="M26" s="51">
        <f t="shared" si="0"/>
        <v>0</v>
      </c>
      <c r="N26" s="52"/>
      <c r="O26" s="50"/>
      <c r="P26" s="50"/>
      <c r="Q26" s="50"/>
      <c r="R26" s="50"/>
      <c r="S26" s="2"/>
      <c r="T26" s="2"/>
      <c r="U26" s="2"/>
      <c r="V26" s="2"/>
      <c r="W26" s="2"/>
      <c r="X26" s="2"/>
      <c r="Y26" s="2"/>
    </row>
    <row r="27" spans="2:25" ht="16" x14ac:dyDescent="0.2">
      <c r="B27" s="47" t="s">
        <v>59</v>
      </c>
      <c r="C27" s="48">
        <v>48</v>
      </c>
      <c r="D27" s="48" t="s">
        <v>14</v>
      </c>
      <c r="E27" s="48">
        <v>45</v>
      </c>
      <c r="F27" s="48">
        <v>3</v>
      </c>
      <c r="G27" s="48" t="s">
        <v>11</v>
      </c>
      <c r="H27" s="48" t="s">
        <v>48</v>
      </c>
      <c r="I27" s="49">
        <v>15</v>
      </c>
      <c r="J27" s="50"/>
      <c r="K27" s="47">
        <v>1</v>
      </c>
      <c r="L27" s="64">
        <f>EXP( VLOOKUP(1, Intercepts!A$2:R$2, P$3, FALSE) + VLOOKUP(C27, Age!A$13:R$103, P$3, FALSE) + VLOOKUP(D27, Sex!A$2:R$4, P$3, FALSE) + VLOOKUP(E27, AdmitScore!A$2:R$103, P$3, FALSE) + VLOOKUP(F27, AdmitPain!A$2:R$13, P$3, FALSE) + VLOOKUP(G27, Payer!A$2:R$7, P$3, FALSE) + VLOOKUP(H27, TxType!A$2:R$3, P$3, FALSE) + VLOOKUP('Patient Data'!I27, Duration!A$2:T$6, P$3+2, TRUE) )/(1+EXP( VLOOKUP(1, Intercepts!A$2:R$2, P$3, FALSE) + VLOOKUP(C27, Age!A$2:R$103, P$3, FALSE) + VLOOKUP(D27, Sex!A$2:R$4, P$3, FALSE) + VLOOKUP(E27, AdmitScore!A$2:R$103, P$3, FALSE) + VLOOKUP(F27, AdmitPain!A$2:R$13, P$3, FALSE) + VLOOKUP(G27, Payer!A$2:R$7, P$3, FALSE) + VLOOKUP(H27, TxType!A$2:R$3, P$3, FALSE) + VLOOKUP('Patient Data'!I27, Duration!A$2:T$6, P$3+2, TRUE) ))</f>
        <v>0.25215881575708748</v>
      </c>
      <c r="M27" s="51">
        <f t="shared" si="0"/>
        <v>1</v>
      </c>
      <c r="N27" s="5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ht="17" thickBot="1" x14ac:dyDescent="0.25">
      <c r="B28" s="56" t="s">
        <v>60</v>
      </c>
      <c r="C28" s="57">
        <v>49</v>
      </c>
      <c r="D28" s="57" t="s">
        <v>10</v>
      </c>
      <c r="E28" s="57">
        <v>46</v>
      </c>
      <c r="F28" s="57">
        <v>8</v>
      </c>
      <c r="G28" s="57" t="s">
        <v>11</v>
      </c>
      <c r="H28" s="57" t="s">
        <v>48</v>
      </c>
      <c r="I28" s="58">
        <v>25</v>
      </c>
      <c r="J28" s="50"/>
      <c r="K28" s="56">
        <v>0</v>
      </c>
      <c r="L28" s="66">
        <f>EXP( VLOOKUP(1, Intercepts!A$2:R$2, P$3, FALSE) + VLOOKUP(C28, Age!A$13:R$103, P$3, FALSE) + VLOOKUP(D28, Sex!A$2:R$4, P$3, FALSE) + VLOOKUP(E28, AdmitScore!A$2:R$103, P$3, FALSE) + VLOOKUP(F28, AdmitPain!A$2:R$13, P$3, FALSE) + VLOOKUP(G28, Payer!A$2:R$7, P$3, FALSE) + VLOOKUP(H28, TxType!A$2:R$3, P$3, FALSE) + VLOOKUP('Patient Data'!I28, Duration!A$2:T$6, P$3+2, TRUE) )/(1+EXP( VLOOKUP(1, Intercepts!A$2:R$2, P$3, FALSE) + VLOOKUP(C28, Age!A$2:R$103, P$3, FALSE) + VLOOKUP(D28, Sex!A$2:R$4, P$3, FALSE) + VLOOKUP(E28, AdmitScore!A$2:R$103, P$3, FALSE) + VLOOKUP(F28, AdmitPain!A$2:R$13, P$3, FALSE) + VLOOKUP(G28, Payer!A$2:R$7, P$3, FALSE) + VLOOKUP(H28, TxType!A$2:R$3, P$3, FALSE) + VLOOKUP('Patient Data'!I28, Duration!A$2:T$6, P$3+2, TRUE) ))</f>
        <v>0.66861567742541161</v>
      </c>
      <c r="M28" s="59">
        <f t="shared" si="0"/>
        <v>0</v>
      </c>
      <c r="N28" s="5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2:25" ht="16" x14ac:dyDescent="0.2">
      <c r="B29" s="33"/>
      <c r="C29" s="33"/>
      <c r="D29" s="33"/>
      <c r="E29" s="33"/>
      <c r="F29" s="33"/>
      <c r="G29" s="33"/>
      <c r="H29" s="33"/>
      <c r="I29" s="33"/>
      <c r="J29" s="33"/>
      <c r="K29" s="37"/>
      <c r="L29" s="33"/>
      <c r="M29" s="35"/>
      <c r="N29" s="35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2:25" ht="16" x14ac:dyDescent="0.2">
      <c r="B30" s="33"/>
      <c r="C30" s="33"/>
      <c r="D30" s="33"/>
      <c r="E30" s="33"/>
      <c r="F30" s="33"/>
      <c r="G30" s="33"/>
      <c r="H30" s="33"/>
      <c r="I30" s="33"/>
      <c r="J30" s="33"/>
      <c r="K30" s="37"/>
      <c r="L30" s="33"/>
      <c r="M30" s="35"/>
      <c r="N30" s="35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2:25" ht="16" x14ac:dyDescent="0.2">
      <c r="B31" s="33"/>
      <c r="C31" s="33"/>
      <c r="D31" s="33"/>
      <c r="E31" s="33"/>
      <c r="F31" s="33"/>
      <c r="G31" s="33"/>
      <c r="H31" s="33"/>
      <c r="I31" s="33"/>
      <c r="J31" s="33"/>
      <c r="K31" s="37"/>
      <c r="L31" s="33"/>
      <c r="M31" s="35"/>
      <c r="N31" s="35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2:25" ht="16" x14ac:dyDescent="0.2">
      <c r="B32" s="2"/>
      <c r="C32" s="2"/>
      <c r="D32" s="2"/>
      <c r="E32" s="2"/>
      <c r="F32" s="2"/>
      <c r="G32" s="2"/>
      <c r="H32" s="2"/>
      <c r="I32" s="2"/>
      <c r="J32" s="2"/>
      <c r="K32" s="38"/>
      <c r="L32" s="2"/>
      <c r="M32" s="38"/>
      <c r="N32" s="38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2:25" ht="68" x14ac:dyDescent="0.2">
      <c r="B33" s="2"/>
      <c r="C33" s="2"/>
      <c r="D33" s="2"/>
      <c r="E33" s="2"/>
      <c r="F33" s="2"/>
      <c r="G33" s="2"/>
      <c r="H33" s="2"/>
      <c r="I33" s="2"/>
      <c r="J33" s="2"/>
      <c r="K33" s="36" t="s">
        <v>98</v>
      </c>
      <c r="L33" s="2"/>
      <c r="M33" s="36" t="s">
        <v>97</v>
      </c>
      <c r="N33" s="36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2:25" ht="16" x14ac:dyDescent="0.2">
      <c r="B34" s="2"/>
      <c r="C34" s="2"/>
      <c r="D34" s="2"/>
      <c r="E34" s="2"/>
      <c r="F34" s="2"/>
      <c r="G34" s="2"/>
      <c r="H34" s="2"/>
      <c r="I34" s="2"/>
      <c r="K34" s="34">
        <f>AVERAGE(K4:K28)</f>
        <v>0.24</v>
      </c>
      <c r="L34" s="2"/>
      <c r="M34" s="34">
        <f>AVERAGE(M4:M28)</f>
        <v>0.44</v>
      </c>
      <c r="N34" s="34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2:25" ht="16" x14ac:dyDescent="0.2">
      <c r="B35" s="2"/>
      <c r="C35" s="2"/>
      <c r="D35" s="2"/>
      <c r="E35" s="2"/>
      <c r="F35" s="2"/>
      <c r="G35" s="2"/>
      <c r="H35" s="2"/>
      <c r="I35" s="2"/>
      <c r="J35" s="2"/>
      <c r="K35" s="38"/>
      <c r="L35" s="2"/>
      <c r="M35" s="38"/>
      <c r="N35" s="38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2:25" ht="16" x14ac:dyDescent="0.2">
      <c r="B36" s="2"/>
      <c r="C36" s="2"/>
      <c r="D36" s="2"/>
      <c r="E36" s="2"/>
      <c r="F36" s="2"/>
      <c r="G36" s="2"/>
      <c r="H36" s="2"/>
      <c r="I36" s="2"/>
      <c r="J36" s="2"/>
      <c r="K36" s="38"/>
      <c r="L36" s="2"/>
      <c r="M36" s="38"/>
      <c r="N36" s="38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2:25" ht="16" x14ac:dyDescent="0.2">
      <c r="B37" s="2"/>
      <c r="C37" s="2"/>
      <c r="D37" s="2"/>
      <c r="E37" s="2"/>
      <c r="F37" s="2"/>
      <c r="G37" s="2"/>
      <c r="H37" s="2"/>
      <c r="I37" s="2"/>
      <c r="J37" s="2"/>
      <c r="K37" s="38"/>
      <c r="L37" s="2"/>
      <c r="M37" s="38"/>
      <c r="N37" s="38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2:25" ht="16" x14ac:dyDescent="0.2">
      <c r="B38" s="2"/>
      <c r="C38" s="2"/>
      <c r="D38" s="2"/>
      <c r="E38" s="2"/>
      <c r="F38" s="2"/>
      <c r="G38" s="2"/>
      <c r="H38" s="2"/>
      <c r="I38" s="2"/>
      <c r="J38" s="2"/>
      <c r="K38" s="38"/>
      <c r="L38" s="2"/>
      <c r="M38" s="38"/>
      <c r="N38" s="38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2:25" ht="16" x14ac:dyDescent="0.2">
      <c r="B39" s="2"/>
      <c r="C39" s="2"/>
      <c r="D39" s="2"/>
      <c r="E39" s="2"/>
      <c r="F39" s="2"/>
      <c r="G39" s="2"/>
      <c r="H39" s="2"/>
      <c r="I39" s="2"/>
      <c r="J39" s="2"/>
      <c r="K39" s="38"/>
      <c r="L39" s="2"/>
      <c r="M39" s="38"/>
      <c r="N39" s="38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2:25" ht="16" x14ac:dyDescent="0.2">
      <c r="B40" s="2"/>
      <c r="C40" s="2"/>
      <c r="D40" s="2"/>
      <c r="E40" s="2"/>
      <c r="F40" s="2"/>
      <c r="G40" s="2"/>
      <c r="H40" s="2"/>
      <c r="I40" s="2"/>
      <c r="J40" s="2"/>
      <c r="K40" s="38"/>
      <c r="L40" s="2"/>
      <c r="M40" s="38"/>
      <c r="N40" s="38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2:25" ht="16" x14ac:dyDescent="0.2">
      <c r="B41" s="2"/>
      <c r="C41" s="2"/>
      <c r="D41" s="2"/>
      <c r="E41" s="2"/>
      <c r="F41" s="2"/>
      <c r="G41" s="2"/>
      <c r="H41" s="2"/>
      <c r="I41" s="2"/>
      <c r="J41" s="2"/>
      <c r="K41" s="38"/>
      <c r="L41" s="2"/>
      <c r="M41" s="38"/>
      <c r="N41" s="38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2:25" ht="16" x14ac:dyDescent="0.2">
      <c r="B42" s="2"/>
      <c r="C42" s="2"/>
      <c r="D42" s="2"/>
      <c r="E42" s="2"/>
      <c r="F42" s="2"/>
      <c r="G42" s="2"/>
      <c r="H42" s="2"/>
      <c r="I42" s="2"/>
      <c r="J42" s="2"/>
      <c r="K42" s="38"/>
      <c r="L42" s="2"/>
      <c r="M42" s="38"/>
      <c r="N42" s="38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2:25" ht="16" x14ac:dyDescent="0.2">
      <c r="B43" s="2"/>
      <c r="C43" s="2"/>
      <c r="D43" s="2"/>
      <c r="E43" s="2"/>
      <c r="F43" s="2"/>
      <c r="G43" s="2"/>
      <c r="H43" s="2"/>
      <c r="I43" s="2"/>
      <c r="J43" s="2"/>
      <c r="K43" s="38"/>
      <c r="L43" s="2"/>
      <c r="M43" s="38"/>
      <c r="N43" s="38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2:25" ht="16" x14ac:dyDescent="0.2">
      <c r="B44" s="2"/>
      <c r="C44" s="2"/>
      <c r="D44" s="2"/>
      <c r="E44" s="2"/>
      <c r="F44" s="2"/>
      <c r="G44" s="2"/>
      <c r="H44" s="2"/>
      <c r="I44" s="2"/>
      <c r="J44" s="2"/>
      <c r="K44" s="38"/>
      <c r="L44" s="2"/>
      <c r="M44" s="38"/>
      <c r="N44" s="38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2:25" ht="16" x14ac:dyDescent="0.2">
      <c r="B45" s="2"/>
      <c r="C45" s="2"/>
      <c r="D45" s="2"/>
      <c r="E45" s="2"/>
      <c r="F45" s="2"/>
      <c r="G45" s="2"/>
      <c r="H45" s="2"/>
      <c r="I45" s="2"/>
      <c r="J45" s="2"/>
      <c r="K45" s="38"/>
      <c r="L45" s="2"/>
      <c r="M45" s="38"/>
      <c r="N45" s="38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2:25" ht="16" x14ac:dyDescent="0.2">
      <c r="B46" s="2"/>
      <c r="C46" s="2"/>
      <c r="D46" s="2"/>
      <c r="E46" s="2"/>
      <c r="F46" s="2"/>
      <c r="G46" s="2"/>
      <c r="H46" s="2"/>
      <c r="I46" s="2"/>
      <c r="J46" s="2"/>
      <c r="K46" s="38"/>
      <c r="L46" s="2"/>
      <c r="M46" s="38"/>
      <c r="N46" s="38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2:25" ht="16" x14ac:dyDescent="0.2">
      <c r="B47" s="2"/>
      <c r="C47" s="2"/>
      <c r="D47" s="2"/>
      <c r="E47" s="2"/>
      <c r="F47" s="2"/>
      <c r="G47" s="2"/>
      <c r="H47" s="2"/>
      <c r="I47" s="2"/>
      <c r="J47" s="2"/>
      <c r="K47" s="38"/>
      <c r="L47" s="2"/>
      <c r="M47" s="38"/>
      <c r="N47" s="38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2:25" ht="16" x14ac:dyDescent="0.2">
      <c r="B48" s="2"/>
      <c r="C48" s="2"/>
      <c r="D48" s="2"/>
      <c r="E48" s="2"/>
      <c r="F48" s="2"/>
      <c r="G48" s="2"/>
      <c r="H48" s="2"/>
      <c r="I48" s="2"/>
      <c r="J48" s="2"/>
      <c r="K48" s="38"/>
      <c r="L48" s="2"/>
      <c r="M48" s="38"/>
      <c r="N48" s="38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2:25" ht="16" x14ac:dyDescent="0.2">
      <c r="B49" s="2"/>
      <c r="C49" s="2"/>
      <c r="D49" s="2"/>
      <c r="E49" s="2"/>
      <c r="F49" s="2"/>
      <c r="G49" s="2"/>
      <c r="H49" s="2"/>
      <c r="I49" s="2"/>
      <c r="J49" s="2"/>
      <c r="K49" s="38"/>
      <c r="L49" s="2"/>
      <c r="M49" s="38"/>
      <c r="N49" s="38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2:25" ht="16" x14ac:dyDescent="0.2">
      <c r="B50" s="2"/>
      <c r="C50" s="2"/>
      <c r="D50" s="2"/>
      <c r="E50" s="2"/>
      <c r="F50" s="2"/>
      <c r="H50" s="2"/>
      <c r="I50" s="2"/>
      <c r="J50" s="2"/>
      <c r="K50" s="38"/>
      <c r="L50" s="2"/>
      <c r="M50" s="38"/>
      <c r="N50" s="38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2:25" ht="16" x14ac:dyDescent="0.2">
      <c r="B51" s="2"/>
      <c r="C51" s="2"/>
      <c r="D51" s="2"/>
      <c r="E51" s="2"/>
      <c r="F51" s="2"/>
      <c r="H51" s="2"/>
      <c r="I51" s="2"/>
      <c r="J51" s="2"/>
      <c r="K51" s="38"/>
      <c r="L51" s="2"/>
      <c r="M51" s="38"/>
      <c r="N51" s="38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2:25" ht="16" x14ac:dyDescent="0.2">
      <c r="B52" s="2"/>
      <c r="C52" s="2"/>
      <c r="D52" s="2"/>
      <c r="E52" s="2"/>
      <c r="F52" s="2"/>
      <c r="H52" s="2"/>
      <c r="I52" s="2"/>
      <c r="J52" s="2"/>
      <c r="K52" s="38"/>
      <c r="L52" s="2"/>
      <c r="M52" s="38"/>
      <c r="N52" s="38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2:25" ht="16" x14ac:dyDescent="0.2">
      <c r="B53" s="2"/>
      <c r="C53" s="2"/>
      <c r="D53" s="2"/>
      <c r="E53" s="2"/>
      <c r="F53" s="2"/>
      <c r="H53" s="2"/>
      <c r="I53" s="2"/>
      <c r="J53" s="2"/>
      <c r="K53" s="38"/>
      <c r="L53" s="2"/>
      <c r="M53" s="38"/>
      <c r="N53" s="38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2:25" ht="16" x14ac:dyDescent="0.2">
      <c r="B54" s="2"/>
      <c r="C54" s="2"/>
      <c r="D54" s="2"/>
      <c r="E54" s="2"/>
      <c r="F54" s="2"/>
      <c r="H54" s="2"/>
      <c r="I54" s="2"/>
      <c r="J54" s="2"/>
      <c r="K54" s="38"/>
      <c r="L54" s="2"/>
      <c r="M54" s="38"/>
      <c r="N54" s="38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2:25" ht="16" x14ac:dyDescent="0.2">
      <c r="B55" s="2"/>
      <c r="C55" s="2"/>
      <c r="D55" s="2"/>
      <c r="E55" s="2"/>
      <c r="F55" s="2"/>
      <c r="H55" s="2"/>
      <c r="I55" s="2"/>
      <c r="J55" s="2"/>
      <c r="K55" s="38"/>
      <c r="L55" s="2"/>
      <c r="M55" s="38"/>
      <c r="N55" s="38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2:25" ht="16" x14ac:dyDescent="0.2">
      <c r="B56" s="2"/>
      <c r="C56" s="2"/>
      <c r="D56" s="2"/>
      <c r="E56" s="2"/>
      <c r="F56" s="2"/>
      <c r="H56" s="2"/>
      <c r="I56" s="2"/>
      <c r="J56" s="2"/>
      <c r="K56" s="38"/>
      <c r="L56" s="2"/>
      <c r="M56" s="38"/>
      <c r="N56" s="38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2:25" ht="16" x14ac:dyDescent="0.2">
      <c r="B57" s="2"/>
      <c r="C57" s="2"/>
      <c r="D57" s="2"/>
      <c r="E57" s="2"/>
      <c r="F57" s="2"/>
      <c r="G57" s="2"/>
      <c r="H57" s="2"/>
      <c r="I57" s="2"/>
      <c r="J57" s="2"/>
      <c r="K57" s="38"/>
      <c r="L57" s="2"/>
      <c r="M57" s="38"/>
      <c r="N57" s="38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2:25" ht="16" x14ac:dyDescent="0.2">
      <c r="B58" s="2"/>
      <c r="C58" s="2"/>
      <c r="D58" s="2"/>
      <c r="E58" s="2"/>
      <c r="F58" s="2"/>
      <c r="G58" s="2"/>
      <c r="H58" s="2"/>
      <c r="I58" s="2"/>
      <c r="J58" s="2"/>
      <c r="K58" s="38"/>
      <c r="L58" s="2"/>
      <c r="M58" s="38"/>
      <c r="N58" s="38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2:25" ht="16" x14ac:dyDescent="0.2">
      <c r="B59" s="2"/>
      <c r="C59" s="2"/>
      <c r="D59" s="2"/>
      <c r="E59" s="2"/>
      <c r="F59" s="2"/>
      <c r="G59" s="2"/>
      <c r="H59" s="2"/>
      <c r="I59" s="2"/>
      <c r="J59" s="2"/>
      <c r="K59" s="38"/>
      <c r="L59" s="2"/>
      <c r="M59" s="38"/>
      <c r="N59" s="38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2:25" ht="16" x14ac:dyDescent="0.2">
      <c r="B60" s="2"/>
      <c r="C60" s="2"/>
      <c r="D60" s="2"/>
      <c r="E60" s="2"/>
      <c r="F60" s="2"/>
      <c r="G60" s="2"/>
      <c r="H60" s="2"/>
      <c r="I60" s="2"/>
      <c r="J60" s="2"/>
      <c r="K60" s="38"/>
      <c r="L60" s="2"/>
      <c r="M60" s="38"/>
      <c r="N60" s="38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2:25" ht="16" x14ac:dyDescent="0.2">
      <c r="B61" s="2"/>
      <c r="C61" s="2"/>
      <c r="D61" s="2"/>
      <c r="E61" s="2"/>
      <c r="F61" s="2"/>
      <c r="G61" s="2"/>
      <c r="H61" s="2"/>
      <c r="I61" s="2"/>
      <c r="J61" s="2"/>
      <c r="K61" s="38"/>
      <c r="L61" s="2"/>
      <c r="M61" s="38"/>
      <c r="N61" s="38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2:25" ht="16" x14ac:dyDescent="0.2">
      <c r="B62" s="2"/>
      <c r="C62" s="2"/>
      <c r="D62" s="2"/>
      <c r="E62" s="2"/>
      <c r="F62" s="2"/>
      <c r="G62" s="2"/>
      <c r="H62" s="2"/>
      <c r="I62" s="2"/>
      <c r="J62" s="2"/>
      <c r="K62" s="38"/>
      <c r="L62" s="2"/>
      <c r="M62" s="38"/>
      <c r="N62" s="38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2:25" ht="16" x14ac:dyDescent="0.2">
      <c r="B63" s="2"/>
      <c r="C63" s="2"/>
      <c r="D63" s="2"/>
      <c r="E63" s="2"/>
      <c r="F63" s="2"/>
      <c r="G63" s="2"/>
      <c r="H63" s="2"/>
      <c r="I63" s="2"/>
      <c r="J63" s="2"/>
      <c r="K63" s="38"/>
      <c r="L63" s="2"/>
      <c r="M63" s="38"/>
      <c r="N63" s="38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2:25" ht="16" x14ac:dyDescent="0.2">
      <c r="B64" s="2"/>
      <c r="C64" s="2"/>
      <c r="D64" s="2"/>
      <c r="E64" s="2"/>
      <c r="F64" s="2"/>
      <c r="G64" s="2"/>
      <c r="H64" s="2"/>
      <c r="I64" s="2"/>
      <c r="J64" s="2"/>
      <c r="K64" s="38"/>
      <c r="L64" s="2"/>
      <c r="M64" s="38"/>
      <c r="N64" s="38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2:25" ht="16" x14ac:dyDescent="0.2">
      <c r="B65" s="2"/>
      <c r="C65" s="2"/>
      <c r="D65" s="2"/>
      <c r="E65" s="2"/>
      <c r="F65" s="2"/>
      <c r="G65" s="2"/>
      <c r="H65" s="2"/>
      <c r="I65" s="2"/>
      <c r="J65" s="2"/>
      <c r="K65" s="38"/>
      <c r="L65" s="2"/>
      <c r="M65" s="38"/>
      <c r="N65" s="38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2:25" ht="16" x14ac:dyDescent="0.2">
      <c r="B66" s="2"/>
      <c r="C66" s="2"/>
      <c r="D66" s="2"/>
      <c r="E66" s="2"/>
      <c r="F66" s="2"/>
      <c r="G66" s="2"/>
      <c r="H66" s="2"/>
      <c r="I66" s="2"/>
      <c r="J66" s="2"/>
      <c r="K66" s="38"/>
      <c r="L66" s="2"/>
      <c r="M66" s="38"/>
      <c r="N66" s="38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2:25" ht="16" x14ac:dyDescent="0.2">
      <c r="B67" s="2"/>
      <c r="C67" s="2"/>
      <c r="D67" s="2"/>
      <c r="E67" s="2"/>
      <c r="F67" s="2"/>
      <c r="G67" s="2"/>
      <c r="H67" s="2"/>
      <c r="I67" s="2"/>
      <c r="J67" s="2"/>
      <c r="K67" s="38"/>
      <c r="L67" s="2"/>
      <c r="M67" s="38"/>
      <c r="N67" s="38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2:25" ht="16" x14ac:dyDescent="0.2">
      <c r="B68" s="2"/>
      <c r="C68" s="2"/>
      <c r="D68" s="2"/>
      <c r="E68" s="2"/>
      <c r="F68" s="2"/>
      <c r="G68" s="2"/>
      <c r="H68" s="2"/>
      <c r="I68" s="2"/>
      <c r="J68" s="2"/>
      <c r="K68" s="38"/>
      <c r="L68" s="2"/>
      <c r="M68" s="38"/>
      <c r="N68" s="38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2:25" ht="16" x14ac:dyDescent="0.2">
      <c r="B69" s="2"/>
      <c r="C69" s="2"/>
      <c r="D69" s="2"/>
      <c r="E69" s="2"/>
      <c r="F69" s="2"/>
      <c r="G69" s="2"/>
      <c r="H69" s="2"/>
      <c r="I69" s="2"/>
      <c r="J69" s="2"/>
      <c r="K69" s="38"/>
      <c r="L69" s="2"/>
      <c r="M69" s="38"/>
      <c r="N69" s="38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2:25" ht="16" x14ac:dyDescent="0.2">
      <c r="B70" s="2"/>
      <c r="C70" s="2"/>
      <c r="D70" s="2"/>
      <c r="E70" s="2"/>
      <c r="F70" s="2"/>
      <c r="G70" s="2"/>
      <c r="H70" s="2"/>
      <c r="I70" s="2"/>
      <c r="J70" s="2"/>
      <c r="K70" s="38"/>
      <c r="L70" s="2"/>
      <c r="M70" s="38"/>
      <c r="N70" s="38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2:25" ht="16" x14ac:dyDescent="0.2">
      <c r="B71" s="2"/>
      <c r="C71" s="2"/>
      <c r="D71" s="2"/>
      <c r="E71" s="2"/>
      <c r="F71" s="2"/>
      <c r="G71" s="2"/>
      <c r="H71" s="2"/>
      <c r="I71" s="2"/>
      <c r="J71" s="2"/>
      <c r="K71" s="38"/>
      <c r="L71" s="2"/>
      <c r="M71" s="38"/>
      <c r="N71" s="38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2:25" ht="16" x14ac:dyDescent="0.2">
      <c r="B72" s="2"/>
      <c r="C72" s="2"/>
      <c r="D72" s="2"/>
      <c r="E72" s="2"/>
      <c r="F72" s="2"/>
      <c r="G72" s="2"/>
      <c r="H72" s="2"/>
      <c r="I72" s="2"/>
      <c r="J72" s="2"/>
      <c r="K72" s="38"/>
      <c r="L72" s="2"/>
      <c r="M72" s="38"/>
      <c r="N72" s="38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2:25" ht="16" x14ac:dyDescent="0.2">
      <c r="B73" s="2"/>
      <c r="C73" s="2"/>
      <c r="D73" s="2"/>
      <c r="E73" s="2"/>
      <c r="F73" s="2"/>
      <c r="G73" s="2"/>
      <c r="H73" s="2"/>
      <c r="I73" s="2"/>
      <c r="J73" s="2"/>
      <c r="K73" s="38"/>
      <c r="L73" s="2"/>
      <c r="M73" s="38"/>
      <c r="N73" s="38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2:25" ht="16" x14ac:dyDescent="0.2">
      <c r="B74" s="2"/>
      <c r="C74" s="2"/>
      <c r="D74" s="2"/>
      <c r="E74" s="2"/>
      <c r="F74" s="2"/>
      <c r="G74" s="2"/>
      <c r="H74" s="2"/>
      <c r="I74" s="2"/>
      <c r="J74" s="2"/>
      <c r="K74" s="38"/>
      <c r="L74" s="2"/>
      <c r="M74" s="38"/>
      <c r="N74" s="38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2:25" ht="16" x14ac:dyDescent="0.2">
      <c r="B75" s="2"/>
      <c r="C75" s="2"/>
      <c r="D75" s="2"/>
      <c r="E75" s="2"/>
      <c r="F75" s="2"/>
      <c r="G75" s="2"/>
      <c r="H75" s="2"/>
      <c r="I75" s="2"/>
      <c r="J75" s="2"/>
      <c r="K75" s="38"/>
      <c r="L75" s="2"/>
      <c r="M75" s="38"/>
      <c r="N75" s="38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2:25" ht="16" x14ac:dyDescent="0.2">
      <c r="B76" s="2"/>
      <c r="C76" s="2"/>
      <c r="D76" s="2"/>
      <c r="E76" s="2"/>
      <c r="F76" s="2"/>
      <c r="G76" s="2"/>
      <c r="H76" s="2"/>
      <c r="I76" s="2"/>
      <c r="J76" s="2"/>
      <c r="K76" s="38"/>
      <c r="L76" s="2"/>
      <c r="M76" s="38"/>
      <c r="N76" s="38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2:25" ht="16" x14ac:dyDescent="0.2">
      <c r="B77" s="2"/>
      <c r="C77" s="2"/>
      <c r="D77" s="2"/>
      <c r="E77" s="2"/>
      <c r="F77" s="2"/>
      <c r="G77" s="2"/>
      <c r="H77" s="2"/>
      <c r="I77" s="2"/>
      <c r="J77" s="2"/>
      <c r="K77" s="38"/>
      <c r="L77" s="2"/>
      <c r="M77" s="38"/>
      <c r="N77" s="38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2:25" ht="16" x14ac:dyDescent="0.2">
      <c r="B78" s="2"/>
      <c r="C78" s="2"/>
      <c r="D78" s="2"/>
      <c r="E78" s="2"/>
      <c r="F78" s="2"/>
      <c r="G78" s="2"/>
      <c r="H78" s="2"/>
      <c r="I78" s="2"/>
      <c r="J78" s="2"/>
      <c r="K78" s="38"/>
      <c r="L78" s="2"/>
      <c r="M78" s="38"/>
      <c r="N78" s="38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2:25" ht="16" x14ac:dyDescent="0.2">
      <c r="B79" s="2"/>
      <c r="C79" s="2"/>
      <c r="D79" s="2"/>
      <c r="E79" s="2"/>
      <c r="F79" s="2"/>
      <c r="G79" s="2"/>
      <c r="H79" s="2"/>
      <c r="I79" s="2"/>
      <c r="J79" s="2"/>
      <c r="K79" s="38"/>
      <c r="L79" s="2"/>
      <c r="M79" s="38"/>
      <c r="N79" s="38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2:25" ht="16" x14ac:dyDescent="0.2">
      <c r="B80" s="2"/>
      <c r="C80" s="2"/>
      <c r="D80" s="2"/>
      <c r="E80" s="2"/>
      <c r="F80" s="2"/>
      <c r="G80" s="2"/>
      <c r="H80" s="2"/>
      <c r="I80" s="2"/>
      <c r="J80" s="2"/>
      <c r="K80" s="38"/>
      <c r="L80" s="2"/>
      <c r="M80" s="38"/>
      <c r="N80" s="38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2:25" ht="16" x14ac:dyDescent="0.2">
      <c r="B81" s="2"/>
      <c r="C81" s="2"/>
      <c r="D81" s="2"/>
      <c r="E81" s="2"/>
      <c r="F81" s="2"/>
      <c r="G81" s="2"/>
      <c r="H81" s="2"/>
      <c r="I81" s="2"/>
      <c r="J81" s="2"/>
      <c r="K81" s="38"/>
      <c r="L81" s="2"/>
      <c r="M81" s="38"/>
      <c r="N81" s="38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2:25" ht="16" x14ac:dyDescent="0.2">
      <c r="B82" s="2"/>
      <c r="C82" s="2"/>
      <c r="D82" s="2"/>
      <c r="E82" s="2"/>
      <c r="F82" s="2"/>
      <c r="G82" s="2"/>
      <c r="H82" s="2"/>
      <c r="I82" s="2"/>
      <c r="J82" s="2"/>
      <c r="K82" s="38"/>
      <c r="L82" s="2"/>
      <c r="M82" s="38"/>
      <c r="N82" s="38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2:25" ht="16" x14ac:dyDescent="0.2">
      <c r="B83" s="2"/>
      <c r="C83" s="2"/>
      <c r="D83" s="2"/>
      <c r="E83" s="2"/>
      <c r="F83" s="2"/>
      <c r="G83" s="2"/>
      <c r="H83" s="2"/>
      <c r="I83" s="2"/>
      <c r="J83" s="2"/>
      <c r="K83" s="38"/>
      <c r="L83" s="2"/>
      <c r="M83" s="38"/>
      <c r="N83" s="38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2:25" ht="16" x14ac:dyDescent="0.2">
      <c r="B84" s="2"/>
      <c r="C84" s="2"/>
      <c r="D84" s="2"/>
      <c r="E84" s="2"/>
      <c r="F84" s="2"/>
      <c r="G84" s="2"/>
      <c r="H84" s="2"/>
      <c r="I84" s="2"/>
      <c r="J84" s="2"/>
      <c r="K84" s="38"/>
      <c r="L84" s="2"/>
      <c r="M84" s="38"/>
      <c r="N84" s="38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2:25" ht="16" x14ac:dyDescent="0.2">
      <c r="B85" s="2"/>
      <c r="C85" s="2"/>
      <c r="D85" s="2"/>
      <c r="E85" s="2"/>
      <c r="F85" s="2"/>
      <c r="G85" s="2"/>
      <c r="H85" s="2"/>
      <c r="I85" s="2"/>
      <c r="J85" s="2"/>
      <c r="K85" s="38"/>
      <c r="L85" s="2"/>
      <c r="M85" s="38"/>
      <c r="N85" s="38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2:25" ht="16" x14ac:dyDescent="0.2">
      <c r="B86" s="2"/>
      <c r="C86" s="2"/>
      <c r="D86" s="2"/>
      <c r="E86" s="2"/>
      <c r="F86" s="2"/>
      <c r="G86" s="2"/>
      <c r="H86" s="2"/>
      <c r="I86" s="2"/>
      <c r="J86" s="2"/>
      <c r="K86" s="38"/>
      <c r="L86" s="2"/>
      <c r="M86" s="38"/>
      <c r="N86" s="38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2:25" ht="16" x14ac:dyDescent="0.2">
      <c r="B87" s="2"/>
      <c r="C87" s="2"/>
      <c r="D87" s="2"/>
      <c r="E87" s="2"/>
      <c r="F87" s="2"/>
      <c r="G87" s="2"/>
      <c r="H87" s="2"/>
      <c r="I87" s="2"/>
      <c r="J87" s="2"/>
      <c r="K87" s="38"/>
      <c r="L87" s="2"/>
      <c r="M87" s="38"/>
      <c r="N87" s="38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2:25" ht="16" x14ac:dyDescent="0.2">
      <c r="B88" s="2"/>
      <c r="C88" s="2"/>
      <c r="D88" s="2"/>
      <c r="E88" s="2"/>
      <c r="F88" s="2"/>
      <c r="G88" s="2"/>
      <c r="H88" s="2"/>
      <c r="I88" s="2"/>
      <c r="J88" s="2"/>
      <c r="K88" s="38"/>
      <c r="L88" s="2"/>
      <c r="M88" s="38"/>
      <c r="N88" s="38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2:25" ht="16" x14ac:dyDescent="0.2">
      <c r="B89" s="2"/>
      <c r="C89" s="2"/>
      <c r="D89" s="2"/>
      <c r="E89" s="2"/>
      <c r="F89" s="2"/>
      <c r="G89" s="2"/>
      <c r="H89" s="2"/>
      <c r="I89" s="2"/>
      <c r="J89" s="2"/>
      <c r="K89" s="38"/>
      <c r="L89" s="2"/>
      <c r="M89" s="38"/>
      <c r="N89" s="38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2:25" ht="16" x14ac:dyDescent="0.2">
      <c r="B90" s="2"/>
      <c r="C90" s="2"/>
      <c r="D90" s="2"/>
      <c r="E90" s="2"/>
      <c r="F90" s="2"/>
      <c r="G90" s="2"/>
      <c r="H90" s="2"/>
      <c r="I90" s="2"/>
      <c r="J90" s="2"/>
      <c r="K90" s="38"/>
      <c r="L90" s="2"/>
      <c r="M90" s="38"/>
      <c r="N90" s="38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2:25" ht="16" x14ac:dyDescent="0.2">
      <c r="B91" s="2"/>
      <c r="C91" s="2"/>
      <c r="D91" s="2"/>
      <c r="E91" s="2"/>
      <c r="F91" s="2"/>
      <c r="G91" s="2"/>
      <c r="H91" s="2"/>
      <c r="I91" s="2"/>
      <c r="J91" s="2"/>
      <c r="K91" s="38"/>
      <c r="L91" s="2"/>
      <c r="M91" s="38"/>
      <c r="N91" s="38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2:25" ht="16" x14ac:dyDescent="0.2">
      <c r="B92" s="2"/>
      <c r="C92" s="2"/>
      <c r="D92" s="2"/>
      <c r="E92" s="2"/>
      <c r="F92" s="2"/>
      <c r="G92" s="2"/>
      <c r="H92" s="2"/>
      <c r="I92" s="2"/>
      <c r="J92" s="2"/>
      <c r="K92" s="38"/>
      <c r="L92" s="2"/>
      <c r="M92" s="38"/>
      <c r="N92" s="38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2:25" ht="16" x14ac:dyDescent="0.2">
      <c r="B93" s="2"/>
      <c r="C93" s="2"/>
      <c r="D93" s="2"/>
      <c r="E93" s="2"/>
      <c r="F93" s="2"/>
      <c r="G93" s="2"/>
      <c r="H93" s="2"/>
      <c r="I93" s="2"/>
      <c r="J93" s="2"/>
      <c r="K93" s="38"/>
      <c r="L93" s="2"/>
      <c r="M93" s="38"/>
      <c r="N93" s="38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2:25" ht="16" x14ac:dyDescent="0.2">
      <c r="B94" s="2"/>
      <c r="C94" s="2"/>
      <c r="D94" s="2"/>
      <c r="E94" s="2"/>
      <c r="F94" s="2"/>
      <c r="G94" s="2"/>
      <c r="H94" s="2"/>
      <c r="I94" s="2"/>
      <c r="J94" s="2"/>
      <c r="K94" s="38"/>
      <c r="L94" s="2"/>
      <c r="M94" s="38"/>
      <c r="N94" s="38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2:25" ht="16" x14ac:dyDescent="0.2">
      <c r="B95" s="2"/>
      <c r="C95" s="2"/>
      <c r="D95" s="2"/>
      <c r="E95" s="2"/>
      <c r="F95" s="2"/>
      <c r="G95" s="2"/>
      <c r="H95" s="2"/>
      <c r="I95" s="2"/>
      <c r="J95" s="2"/>
      <c r="K95" s="38"/>
      <c r="L95" s="2"/>
      <c r="M95" s="38"/>
      <c r="N95" s="38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2:25" ht="16" x14ac:dyDescent="0.2">
      <c r="B96" s="2"/>
      <c r="C96" s="2"/>
      <c r="D96" s="2"/>
      <c r="E96" s="2"/>
      <c r="F96" s="2"/>
      <c r="G96" s="2"/>
      <c r="H96" s="2"/>
      <c r="I96" s="2"/>
      <c r="J96" s="2"/>
      <c r="K96" s="38"/>
      <c r="L96" s="2"/>
      <c r="M96" s="38"/>
      <c r="N96" s="38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2:25" ht="16" x14ac:dyDescent="0.2">
      <c r="B97" s="2"/>
      <c r="C97" s="2"/>
      <c r="D97" s="2"/>
      <c r="E97" s="2"/>
      <c r="F97" s="2"/>
      <c r="G97" s="2"/>
      <c r="H97" s="2"/>
      <c r="I97" s="2"/>
      <c r="J97" s="2"/>
      <c r="K97" s="38"/>
      <c r="L97" s="2"/>
      <c r="M97" s="38"/>
      <c r="N97" s="38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2:25" ht="16" x14ac:dyDescent="0.2">
      <c r="B98" s="2"/>
      <c r="C98" s="2"/>
      <c r="D98" s="2"/>
      <c r="E98" s="2"/>
      <c r="F98" s="2"/>
      <c r="G98" s="2"/>
      <c r="H98" s="2"/>
      <c r="I98" s="2"/>
      <c r="J98" s="2"/>
      <c r="K98" s="38"/>
      <c r="L98" s="2"/>
      <c r="M98" s="38"/>
      <c r="N98" s="38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2:25" ht="16" x14ac:dyDescent="0.2">
      <c r="B99" s="2"/>
      <c r="C99" s="2"/>
      <c r="D99" s="2"/>
      <c r="E99" s="2"/>
      <c r="F99" s="2"/>
      <c r="G99" s="2"/>
      <c r="H99" s="2"/>
      <c r="I99" s="2"/>
      <c r="J99" s="2"/>
      <c r="K99" s="38"/>
      <c r="L99" s="2"/>
      <c r="M99" s="38"/>
      <c r="N99" s="38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2:25" ht="16" x14ac:dyDescent="0.2">
      <c r="B100" s="2"/>
      <c r="C100" s="2"/>
      <c r="D100" s="2"/>
      <c r="E100" s="2"/>
      <c r="F100" s="2"/>
      <c r="G100" s="2"/>
      <c r="H100" s="2"/>
      <c r="I100" s="2"/>
      <c r="J100" s="2"/>
      <c r="K100" s="38"/>
      <c r="L100" s="2"/>
      <c r="M100" s="38"/>
      <c r="N100" s="38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2:25" ht="16" x14ac:dyDescent="0.2">
      <c r="B101" s="2"/>
      <c r="C101" s="2"/>
      <c r="D101" s="2"/>
      <c r="E101" s="2"/>
      <c r="F101" s="2"/>
      <c r="G101" s="2"/>
      <c r="H101" s="2"/>
      <c r="I101" s="2"/>
      <c r="J101" s="2"/>
      <c r="K101" s="38"/>
      <c r="L101" s="2"/>
      <c r="M101" s="38"/>
      <c r="N101" s="38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2:25" ht="16" x14ac:dyDescent="0.2">
      <c r="B102" s="2"/>
      <c r="C102" s="2"/>
      <c r="D102" s="2"/>
      <c r="E102" s="2"/>
      <c r="F102" s="2"/>
      <c r="G102" s="2"/>
      <c r="H102" s="2"/>
      <c r="I102" s="2"/>
      <c r="J102" s="2"/>
      <c r="K102" s="38"/>
      <c r="L102" s="2"/>
      <c r="M102" s="38"/>
      <c r="N102" s="38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2:25" ht="16" x14ac:dyDescent="0.2">
      <c r="B103" s="2"/>
      <c r="C103" s="2"/>
      <c r="D103" s="2"/>
      <c r="E103" s="2"/>
      <c r="F103" s="2"/>
      <c r="G103" s="2"/>
      <c r="H103" s="2"/>
      <c r="I103" s="2"/>
      <c r="J103" s="2"/>
      <c r="K103" s="38"/>
      <c r="L103" s="2"/>
      <c r="M103" s="38"/>
      <c r="N103" s="38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2:25" ht="16" x14ac:dyDescent="0.2">
      <c r="B104" s="2"/>
      <c r="C104" s="2"/>
      <c r="D104" s="2"/>
      <c r="E104" s="2"/>
      <c r="F104" s="2"/>
      <c r="G104" s="2"/>
      <c r="H104" s="2"/>
      <c r="I104" s="2"/>
      <c r="J104" s="2"/>
      <c r="K104" s="38"/>
      <c r="L104" s="2"/>
      <c r="M104" s="38"/>
      <c r="N104" s="38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2:25" ht="16" x14ac:dyDescent="0.2">
      <c r="B105" s="2"/>
      <c r="C105" s="2"/>
      <c r="D105" s="2"/>
      <c r="E105" s="2"/>
      <c r="F105" s="2"/>
      <c r="G105" s="2"/>
      <c r="H105" s="2"/>
      <c r="I105" s="2"/>
      <c r="J105" s="2"/>
      <c r="K105" s="38"/>
      <c r="L105" s="2"/>
      <c r="M105" s="38"/>
      <c r="N105" s="38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2:25" ht="16" x14ac:dyDescent="0.2">
      <c r="B106" s="2"/>
      <c r="C106" s="2"/>
      <c r="D106" s="2"/>
      <c r="E106" s="2"/>
      <c r="F106" s="2"/>
      <c r="G106" s="2"/>
      <c r="H106" s="2"/>
      <c r="I106" s="2"/>
      <c r="J106" s="2"/>
      <c r="K106" s="38"/>
      <c r="L106" s="2"/>
      <c r="M106" s="38"/>
      <c r="N106" s="38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2:25" ht="16" x14ac:dyDescent="0.2">
      <c r="B107" s="2"/>
      <c r="C107" s="2"/>
      <c r="D107" s="2"/>
      <c r="E107" s="2"/>
      <c r="F107" s="2"/>
      <c r="G107" s="2"/>
      <c r="H107" s="2"/>
      <c r="I107" s="2"/>
      <c r="J107" s="2"/>
      <c r="K107" s="38"/>
      <c r="L107" s="2"/>
      <c r="M107" s="38"/>
      <c r="N107" s="38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2:25" ht="16" x14ac:dyDescent="0.2">
      <c r="B108" s="2"/>
      <c r="C108" s="2"/>
      <c r="D108" s="2"/>
      <c r="E108" s="2"/>
      <c r="F108" s="2"/>
      <c r="G108" s="2"/>
      <c r="H108" s="2"/>
      <c r="I108" s="2"/>
      <c r="J108" s="2"/>
      <c r="K108" s="38"/>
      <c r="L108" s="2"/>
      <c r="M108" s="38"/>
      <c r="N108" s="38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2:25" ht="16" x14ac:dyDescent="0.2">
      <c r="B109" s="2"/>
      <c r="C109" s="2"/>
      <c r="D109" s="2"/>
      <c r="E109" s="2"/>
      <c r="F109" s="2"/>
      <c r="G109" s="2"/>
      <c r="H109" s="2"/>
      <c r="I109" s="2"/>
      <c r="J109" s="2"/>
      <c r="K109" s="38"/>
      <c r="L109" s="2"/>
      <c r="M109" s="38"/>
      <c r="N109" s="38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2:25" ht="16" x14ac:dyDescent="0.2">
      <c r="B110" s="2"/>
      <c r="C110" s="2"/>
      <c r="D110" s="2"/>
      <c r="E110" s="2"/>
      <c r="F110" s="2"/>
      <c r="G110" s="2"/>
      <c r="H110" s="2"/>
      <c r="I110" s="2"/>
      <c r="J110" s="2"/>
      <c r="K110" s="38"/>
      <c r="L110" s="2"/>
      <c r="M110" s="38"/>
      <c r="N110" s="38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2:25" ht="16" x14ac:dyDescent="0.2">
      <c r="B111" s="2"/>
      <c r="C111" s="2"/>
      <c r="D111" s="2"/>
      <c r="E111" s="2"/>
      <c r="F111" s="2"/>
      <c r="G111" s="2"/>
      <c r="H111" s="2"/>
      <c r="I111" s="2"/>
      <c r="J111" s="2"/>
      <c r="K111" s="38"/>
      <c r="L111" s="2"/>
      <c r="M111" s="38"/>
      <c r="N111" s="38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2:25" ht="16" x14ac:dyDescent="0.2">
      <c r="B112" s="2"/>
      <c r="C112" s="2"/>
      <c r="D112" s="2"/>
      <c r="E112" s="2"/>
      <c r="F112" s="2"/>
      <c r="G112" s="2"/>
      <c r="H112" s="2"/>
      <c r="I112" s="2"/>
      <c r="J112" s="2"/>
      <c r="K112" s="38"/>
      <c r="L112" s="2"/>
      <c r="M112" s="38"/>
      <c r="N112" s="38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2:25" ht="16" x14ac:dyDescent="0.2">
      <c r="B113" s="2"/>
      <c r="C113" s="2"/>
      <c r="D113" s="2"/>
      <c r="E113" s="2"/>
      <c r="F113" s="2"/>
      <c r="G113" s="2"/>
      <c r="H113" s="2"/>
      <c r="I113" s="2"/>
      <c r="J113" s="2"/>
      <c r="K113" s="38"/>
      <c r="L113" s="2"/>
      <c r="M113" s="38"/>
      <c r="N113" s="38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2:25" ht="16" x14ac:dyDescent="0.2">
      <c r="B114" s="2"/>
      <c r="C114" s="2"/>
      <c r="D114" s="2"/>
      <c r="E114" s="2"/>
      <c r="F114" s="2"/>
      <c r="G114" s="2"/>
      <c r="H114" s="2"/>
      <c r="I114" s="2"/>
      <c r="J114" s="2"/>
      <c r="K114" s="38"/>
      <c r="L114" s="2"/>
      <c r="M114" s="38"/>
      <c r="N114" s="38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2:25" ht="16" x14ac:dyDescent="0.2">
      <c r="B115" s="2"/>
      <c r="C115" s="2"/>
      <c r="D115" s="2"/>
      <c r="E115" s="2"/>
      <c r="F115" s="2"/>
      <c r="G115" s="2"/>
      <c r="H115" s="2"/>
      <c r="I115" s="2"/>
      <c r="J115" s="2"/>
      <c r="K115" s="38"/>
      <c r="L115" s="2"/>
      <c r="M115" s="38"/>
      <c r="N115" s="38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2:25" ht="16" x14ac:dyDescent="0.2">
      <c r="B116" s="2"/>
      <c r="C116" s="2"/>
      <c r="D116" s="2"/>
      <c r="E116" s="2"/>
      <c r="F116" s="2"/>
      <c r="G116" s="2"/>
      <c r="H116" s="2"/>
      <c r="I116" s="2"/>
      <c r="J116" s="2"/>
      <c r="K116" s="38"/>
      <c r="L116" s="2"/>
      <c r="M116" s="38"/>
      <c r="N116" s="38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2:25" ht="16" x14ac:dyDescent="0.2">
      <c r="B117" s="2"/>
      <c r="C117" s="2"/>
      <c r="D117" s="2"/>
      <c r="E117" s="2"/>
      <c r="F117" s="2"/>
      <c r="G117" s="2"/>
      <c r="H117" s="2"/>
      <c r="I117" s="2"/>
      <c r="J117" s="2"/>
      <c r="K117" s="38"/>
      <c r="L117" s="2"/>
      <c r="M117" s="38"/>
      <c r="N117" s="38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2:25" ht="16" x14ac:dyDescent="0.2">
      <c r="B118" s="2"/>
      <c r="C118" s="2"/>
      <c r="D118" s="2"/>
      <c r="E118" s="2"/>
      <c r="F118" s="2"/>
      <c r="G118" s="2"/>
      <c r="H118" s="2"/>
      <c r="I118" s="2"/>
      <c r="J118" s="2"/>
      <c r="K118" s="38"/>
      <c r="L118" s="2"/>
      <c r="M118" s="38"/>
      <c r="N118" s="38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2:25" ht="16" x14ac:dyDescent="0.2">
      <c r="B119" s="2"/>
      <c r="C119" s="2"/>
      <c r="D119" s="2"/>
      <c r="E119" s="2"/>
      <c r="F119" s="2"/>
      <c r="G119" s="2"/>
      <c r="H119" s="2"/>
      <c r="I119" s="2"/>
      <c r="J119" s="2"/>
      <c r="K119" s="38"/>
      <c r="L119" s="2"/>
      <c r="M119" s="38"/>
      <c r="N119" s="38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2:25" ht="16" x14ac:dyDescent="0.2">
      <c r="B120" s="2"/>
      <c r="C120" s="2"/>
      <c r="D120" s="2"/>
      <c r="E120" s="2"/>
      <c r="F120" s="2"/>
      <c r="G120" s="2"/>
      <c r="H120" s="2"/>
      <c r="I120" s="2"/>
      <c r="J120" s="2"/>
      <c r="K120" s="38"/>
      <c r="L120" s="2"/>
      <c r="M120" s="38"/>
      <c r="N120" s="38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2:25" ht="16" x14ac:dyDescent="0.2">
      <c r="B121" s="2"/>
      <c r="C121" s="2"/>
      <c r="D121" s="2"/>
      <c r="E121" s="2"/>
      <c r="F121" s="2"/>
      <c r="G121" s="2"/>
      <c r="H121" s="2"/>
      <c r="I121" s="2"/>
      <c r="J121" s="2"/>
      <c r="K121" s="38"/>
      <c r="L121" s="2"/>
      <c r="M121" s="38"/>
      <c r="N121" s="38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2:25" ht="16" x14ac:dyDescent="0.2">
      <c r="B122" s="2"/>
      <c r="C122" s="2"/>
      <c r="D122" s="2"/>
      <c r="E122" s="2"/>
      <c r="F122" s="2"/>
      <c r="G122" s="2"/>
      <c r="H122" s="2"/>
      <c r="I122" s="2"/>
      <c r="J122" s="2"/>
      <c r="K122" s="38"/>
      <c r="L122" s="2"/>
      <c r="M122" s="38"/>
      <c r="N122" s="38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2:25" ht="16" x14ac:dyDescent="0.2">
      <c r="B123" s="2"/>
      <c r="C123" s="2"/>
      <c r="D123" s="2"/>
      <c r="E123" s="2"/>
      <c r="F123" s="2"/>
      <c r="G123" s="2"/>
      <c r="H123" s="2"/>
      <c r="I123" s="2"/>
      <c r="J123" s="2"/>
      <c r="K123" s="38"/>
      <c r="L123" s="2"/>
      <c r="M123" s="38"/>
      <c r="N123" s="38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2:25" ht="16" x14ac:dyDescent="0.2">
      <c r="B124" s="2"/>
      <c r="C124" s="2"/>
      <c r="D124" s="2"/>
      <c r="E124" s="2"/>
      <c r="F124" s="2"/>
      <c r="G124" s="2"/>
      <c r="H124" s="2"/>
      <c r="I124" s="2"/>
      <c r="J124" s="2"/>
      <c r="K124" s="38"/>
      <c r="L124" s="2"/>
      <c r="M124" s="38"/>
      <c r="N124" s="38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2:25" ht="16" x14ac:dyDescent="0.2">
      <c r="B125" s="2"/>
      <c r="C125" s="2"/>
      <c r="D125" s="2"/>
      <c r="E125" s="2"/>
      <c r="F125" s="2"/>
      <c r="G125" s="2"/>
      <c r="H125" s="2"/>
      <c r="I125" s="2"/>
      <c r="J125" s="2"/>
      <c r="K125" s="38"/>
      <c r="L125" s="2"/>
      <c r="M125" s="38"/>
      <c r="N125" s="38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2:25" ht="16" x14ac:dyDescent="0.2">
      <c r="B126" s="2"/>
      <c r="C126" s="2"/>
      <c r="D126" s="2"/>
      <c r="E126" s="2"/>
      <c r="F126" s="2"/>
      <c r="G126" s="2"/>
      <c r="H126" s="2"/>
      <c r="I126" s="2"/>
      <c r="J126" s="2"/>
      <c r="K126" s="38"/>
      <c r="L126" s="2"/>
      <c r="M126" s="38"/>
      <c r="N126" s="38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2:25" ht="16" x14ac:dyDescent="0.2">
      <c r="B127" s="2"/>
      <c r="C127" s="2"/>
      <c r="D127" s="2"/>
      <c r="E127" s="2"/>
      <c r="F127" s="2"/>
      <c r="G127" s="2"/>
      <c r="H127" s="2"/>
      <c r="I127" s="2"/>
      <c r="J127" s="2"/>
      <c r="K127" s="38"/>
      <c r="L127" s="2"/>
      <c r="M127" s="38"/>
      <c r="N127" s="38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2:25" ht="16" x14ac:dyDescent="0.2">
      <c r="B128" s="2"/>
      <c r="C128" s="2"/>
      <c r="D128" s="2"/>
      <c r="E128" s="2"/>
      <c r="F128" s="2"/>
      <c r="G128" s="2"/>
      <c r="H128" s="2"/>
      <c r="I128" s="2"/>
      <c r="J128" s="2"/>
      <c r="K128" s="38"/>
      <c r="L128" s="2"/>
      <c r="M128" s="38"/>
      <c r="N128" s="38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2:25" ht="16" x14ac:dyDescent="0.2">
      <c r="B129" s="2"/>
      <c r="C129" s="2"/>
      <c r="D129" s="2"/>
      <c r="E129" s="2"/>
      <c r="F129" s="2"/>
      <c r="G129" s="2"/>
      <c r="H129" s="2"/>
      <c r="I129" s="2"/>
      <c r="J129" s="2"/>
      <c r="K129" s="38"/>
      <c r="L129" s="2"/>
      <c r="M129" s="38"/>
      <c r="N129" s="38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2:25" ht="16" x14ac:dyDescent="0.2">
      <c r="B130" s="2"/>
      <c r="C130" s="2"/>
      <c r="D130" s="2"/>
      <c r="E130" s="2"/>
      <c r="F130" s="2"/>
      <c r="G130" s="2"/>
      <c r="H130" s="2"/>
      <c r="I130" s="2"/>
      <c r="J130" s="2"/>
      <c r="K130" s="38"/>
      <c r="L130" s="2"/>
      <c r="M130" s="38"/>
      <c r="N130" s="38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2:25" ht="16" x14ac:dyDescent="0.2">
      <c r="B131" s="2"/>
      <c r="C131" s="2"/>
      <c r="D131" s="2"/>
      <c r="E131" s="2"/>
      <c r="F131" s="2"/>
      <c r="G131" s="2"/>
      <c r="H131" s="2"/>
      <c r="I131" s="2"/>
      <c r="J131" s="2"/>
      <c r="K131" s="38"/>
      <c r="L131" s="2"/>
      <c r="M131" s="38"/>
      <c r="N131" s="38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2:25" ht="16" x14ac:dyDescent="0.2">
      <c r="B132" s="2"/>
      <c r="C132" s="2"/>
      <c r="D132" s="2"/>
      <c r="E132" s="2"/>
      <c r="F132" s="2"/>
      <c r="G132" s="2"/>
      <c r="H132" s="2"/>
      <c r="I132" s="2"/>
      <c r="J132" s="2"/>
      <c r="K132" s="38"/>
      <c r="L132" s="2"/>
      <c r="M132" s="38"/>
      <c r="N132" s="38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2:25" ht="16" x14ac:dyDescent="0.2">
      <c r="B133" s="2"/>
      <c r="C133" s="2"/>
      <c r="D133" s="2"/>
      <c r="E133" s="2"/>
      <c r="F133" s="2"/>
      <c r="G133" s="2"/>
      <c r="H133" s="2"/>
      <c r="I133" s="2"/>
      <c r="J133" s="2"/>
      <c r="K133" s="38"/>
      <c r="L133" s="2"/>
      <c r="M133" s="38"/>
      <c r="N133" s="38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2:25" ht="16" x14ac:dyDescent="0.2">
      <c r="B134" s="2"/>
      <c r="C134" s="2"/>
      <c r="D134" s="2"/>
      <c r="E134" s="2"/>
      <c r="F134" s="2"/>
      <c r="G134" s="2"/>
      <c r="H134" s="2"/>
      <c r="I134" s="2"/>
      <c r="J134" s="2"/>
      <c r="K134" s="38"/>
      <c r="L134" s="2"/>
      <c r="M134" s="38"/>
      <c r="N134" s="38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2:25" ht="16" x14ac:dyDescent="0.2">
      <c r="B135" s="2"/>
      <c r="C135" s="2"/>
      <c r="D135" s="2"/>
      <c r="E135" s="2"/>
      <c r="F135" s="2"/>
      <c r="G135" s="2"/>
      <c r="H135" s="2"/>
      <c r="I135" s="2"/>
      <c r="J135" s="2"/>
      <c r="K135" s="38"/>
      <c r="L135" s="2"/>
      <c r="M135" s="38"/>
      <c r="N135" s="38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2:25" ht="16" x14ac:dyDescent="0.2">
      <c r="B136" s="2"/>
      <c r="C136" s="2"/>
      <c r="D136" s="2"/>
      <c r="E136" s="2"/>
      <c r="F136" s="2"/>
      <c r="G136" s="2"/>
      <c r="H136" s="2"/>
      <c r="I136" s="2"/>
      <c r="J136" s="2"/>
      <c r="K136" s="38"/>
      <c r="L136" s="2"/>
      <c r="M136" s="38"/>
      <c r="N136" s="38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2:25" ht="16" x14ac:dyDescent="0.2">
      <c r="B137" s="2"/>
      <c r="C137" s="2"/>
      <c r="D137" s="2"/>
      <c r="E137" s="2"/>
      <c r="F137" s="2"/>
      <c r="G137" s="2"/>
      <c r="H137" s="2"/>
      <c r="I137" s="2"/>
      <c r="J137" s="2"/>
      <c r="K137" s="38"/>
      <c r="L137" s="2"/>
      <c r="M137" s="38"/>
      <c r="N137" s="38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2:25" ht="16" x14ac:dyDescent="0.2">
      <c r="B138" s="2"/>
      <c r="C138" s="2"/>
      <c r="D138" s="2"/>
      <c r="E138" s="2"/>
      <c r="F138" s="2"/>
      <c r="G138" s="2"/>
      <c r="H138" s="2"/>
      <c r="I138" s="2"/>
      <c r="J138" s="2"/>
      <c r="K138" s="38"/>
      <c r="L138" s="2"/>
      <c r="M138" s="38"/>
      <c r="N138" s="38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2:25" ht="16" x14ac:dyDescent="0.2">
      <c r="B139" s="2"/>
      <c r="C139" s="2"/>
      <c r="D139" s="2"/>
      <c r="E139" s="2"/>
      <c r="F139" s="2"/>
      <c r="G139" s="2"/>
      <c r="H139" s="2"/>
      <c r="I139" s="2"/>
      <c r="J139" s="2"/>
      <c r="K139" s="38"/>
      <c r="L139" s="2"/>
      <c r="M139" s="38"/>
      <c r="N139" s="38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2:25" ht="16" x14ac:dyDescent="0.2">
      <c r="B140" s="2"/>
      <c r="C140" s="2"/>
      <c r="D140" s="2"/>
      <c r="E140" s="2"/>
      <c r="F140" s="2"/>
      <c r="G140" s="2"/>
      <c r="H140" s="2"/>
      <c r="I140" s="2"/>
      <c r="J140" s="2"/>
      <c r="K140" s="38"/>
      <c r="L140" s="2"/>
      <c r="M140" s="38"/>
      <c r="N140" s="38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2:25" ht="16" x14ac:dyDescent="0.2">
      <c r="B141" s="2"/>
      <c r="C141" s="2"/>
      <c r="D141" s="2"/>
      <c r="E141" s="2"/>
      <c r="F141" s="2"/>
      <c r="G141" s="2"/>
      <c r="H141" s="2"/>
      <c r="I141" s="2"/>
      <c r="J141" s="2"/>
      <c r="K141" s="38"/>
      <c r="L141" s="2"/>
      <c r="M141" s="38"/>
      <c r="N141" s="38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2:25" ht="16" x14ac:dyDescent="0.2">
      <c r="B142" s="2"/>
      <c r="C142" s="2"/>
      <c r="D142" s="2"/>
      <c r="E142" s="2"/>
      <c r="F142" s="2"/>
      <c r="G142" s="2"/>
      <c r="H142" s="2"/>
      <c r="I142" s="2"/>
      <c r="J142" s="2"/>
      <c r="K142" s="38"/>
      <c r="L142" s="2"/>
      <c r="M142" s="38"/>
      <c r="N142" s="38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2:25" ht="16" x14ac:dyDescent="0.2">
      <c r="B143" s="2"/>
      <c r="C143" s="2"/>
      <c r="D143" s="2"/>
      <c r="E143" s="2"/>
      <c r="F143" s="2"/>
      <c r="G143" s="2"/>
      <c r="H143" s="2"/>
      <c r="I143" s="2"/>
      <c r="J143" s="2"/>
      <c r="K143" s="38"/>
      <c r="L143" s="2"/>
      <c r="M143" s="38"/>
      <c r="N143" s="38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2:25" ht="16" x14ac:dyDescent="0.2">
      <c r="B144" s="2"/>
      <c r="C144" s="2"/>
      <c r="D144" s="2"/>
      <c r="E144" s="2"/>
      <c r="F144" s="2"/>
      <c r="G144" s="2"/>
      <c r="H144" s="2"/>
      <c r="I144" s="2"/>
      <c r="J144" s="2"/>
      <c r="K144" s="38"/>
      <c r="L144" s="2"/>
      <c r="M144" s="38"/>
      <c r="N144" s="38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2:25" ht="16" x14ac:dyDescent="0.2">
      <c r="B145" s="2"/>
      <c r="C145" s="2"/>
      <c r="D145" s="2"/>
      <c r="E145" s="2"/>
      <c r="F145" s="2"/>
      <c r="G145" s="2"/>
      <c r="H145" s="2"/>
      <c r="I145" s="2"/>
      <c r="J145" s="2"/>
      <c r="K145" s="38"/>
      <c r="L145" s="2"/>
      <c r="M145" s="38"/>
      <c r="N145" s="38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2:25" ht="16" x14ac:dyDescent="0.2">
      <c r="B146" s="2"/>
      <c r="C146" s="2"/>
      <c r="D146" s="2"/>
      <c r="E146" s="2"/>
      <c r="F146" s="2"/>
      <c r="G146" s="2"/>
      <c r="H146" s="2"/>
      <c r="I146" s="2"/>
      <c r="J146" s="2"/>
      <c r="K146" s="38"/>
      <c r="L146" s="2"/>
      <c r="M146" s="38"/>
      <c r="N146" s="38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2:25" ht="16" x14ac:dyDescent="0.2">
      <c r="B147" s="2"/>
      <c r="C147" s="2"/>
      <c r="D147" s="2"/>
      <c r="E147" s="2"/>
      <c r="F147" s="2"/>
      <c r="G147" s="2"/>
      <c r="H147" s="2"/>
      <c r="I147" s="2"/>
      <c r="J147" s="2"/>
      <c r="K147" s="38"/>
      <c r="L147" s="2"/>
      <c r="M147" s="38"/>
      <c r="N147" s="38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2:25" ht="16" x14ac:dyDescent="0.2">
      <c r="B148" s="2"/>
      <c r="C148" s="2"/>
      <c r="D148" s="2"/>
      <c r="E148" s="2"/>
      <c r="F148" s="2"/>
      <c r="G148" s="2"/>
      <c r="H148" s="2"/>
      <c r="I148" s="2"/>
      <c r="J148" s="2"/>
      <c r="K148" s="38"/>
      <c r="L148" s="2"/>
      <c r="M148" s="38"/>
      <c r="N148" s="38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2:25" ht="16" x14ac:dyDescent="0.2">
      <c r="B149" s="2"/>
      <c r="C149" s="2"/>
      <c r="D149" s="2"/>
      <c r="E149" s="2"/>
      <c r="F149" s="2"/>
      <c r="G149" s="2"/>
      <c r="H149" s="2"/>
      <c r="I149" s="2"/>
      <c r="J149" s="2"/>
      <c r="K149" s="38"/>
      <c r="L149" s="2"/>
      <c r="M149" s="38"/>
      <c r="N149" s="38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2:25" ht="16" x14ac:dyDescent="0.2">
      <c r="B150" s="2"/>
      <c r="C150" s="2"/>
      <c r="D150" s="2"/>
      <c r="E150" s="2"/>
      <c r="F150" s="2"/>
      <c r="G150" s="2"/>
      <c r="H150" s="2"/>
      <c r="I150" s="2"/>
      <c r="J150" s="2"/>
      <c r="K150" s="38"/>
      <c r="L150" s="2"/>
      <c r="M150" s="38"/>
      <c r="N150" s="38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2:25" ht="16" x14ac:dyDescent="0.2">
      <c r="B151" s="2"/>
      <c r="C151" s="2"/>
      <c r="D151" s="2"/>
      <c r="E151" s="2"/>
      <c r="F151" s="2"/>
      <c r="G151" s="2"/>
      <c r="H151" s="2"/>
      <c r="I151" s="2"/>
      <c r="J151" s="2"/>
      <c r="K151" s="38"/>
      <c r="L151" s="2"/>
      <c r="M151" s="38"/>
      <c r="N151" s="38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2:25" ht="16" x14ac:dyDescent="0.2">
      <c r="B152" s="2"/>
      <c r="C152" s="2"/>
      <c r="D152" s="2"/>
      <c r="E152" s="2"/>
      <c r="F152" s="2"/>
      <c r="G152" s="2"/>
      <c r="H152" s="2"/>
      <c r="I152" s="2"/>
      <c r="J152" s="2"/>
      <c r="K152" s="38"/>
      <c r="L152" s="2"/>
      <c r="M152" s="38"/>
      <c r="N152" s="38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2:25" ht="16" x14ac:dyDescent="0.2">
      <c r="B153" s="2"/>
      <c r="C153" s="2"/>
      <c r="D153" s="2"/>
      <c r="E153" s="2"/>
      <c r="F153" s="2"/>
      <c r="G153" s="2"/>
      <c r="H153" s="2"/>
      <c r="I153" s="2"/>
      <c r="J153" s="2"/>
      <c r="K153" s="38"/>
      <c r="L153" s="2"/>
      <c r="M153" s="38"/>
      <c r="N153" s="38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2:25" ht="16" x14ac:dyDescent="0.2">
      <c r="B154" s="2"/>
      <c r="C154" s="2"/>
      <c r="D154" s="2"/>
      <c r="E154" s="2"/>
      <c r="F154" s="2"/>
      <c r="G154" s="2"/>
      <c r="H154" s="2"/>
      <c r="I154" s="2"/>
      <c r="J154" s="2"/>
      <c r="K154" s="38"/>
      <c r="L154" s="2"/>
      <c r="M154" s="38"/>
      <c r="N154" s="38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2:25" ht="16" x14ac:dyDescent="0.2">
      <c r="B155" s="2"/>
      <c r="C155" s="2"/>
      <c r="D155" s="2"/>
      <c r="E155" s="2"/>
      <c r="F155" s="2"/>
      <c r="G155" s="2"/>
      <c r="H155" s="2"/>
      <c r="I155" s="2"/>
      <c r="J155" s="2"/>
      <c r="K155" s="38"/>
      <c r="L155" s="2"/>
      <c r="M155" s="38"/>
      <c r="N155" s="38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2:25" ht="16" x14ac:dyDescent="0.2">
      <c r="B156" s="2"/>
      <c r="C156" s="2"/>
      <c r="D156" s="2"/>
      <c r="E156" s="2"/>
      <c r="F156" s="2"/>
      <c r="G156" s="2"/>
      <c r="H156" s="2"/>
      <c r="I156" s="2"/>
      <c r="J156" s="2"/>
      <c r="K156" s="38"/>
      <c r="L156" s="2"/>
      <c r="M156" s="38"/>
      <c r="N156" s="38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2:25" ht="16" x14ac:dyDescent="0.2">
      <c r="B157" s="2"/>
      <c r="C157" s="2"/>
      <c r="D157" s="2"/>
      <c r="E157" s="2"/>
      <c r="F157" s="2"/>
      <c r="G157" s="2"/>
      <c r="H157" s="2"/>
      <c r="I157" s="2"/>
      <c r="J157" s="2"/>
      <c r="K157" s="38"/>
      <c r="L157" s="2"/>
      <c r="M157" s="38"/>
      <c r="N157" s="38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2:25" ht="16" x14ac:dyDescent="0.2">
      <c r="B158" s="2"/>
      <c r="C158" s="2"/>
      <c r="D158" s="2"/>
      <c r="E158" s="2"/>
      <c r="F158" s="2"/>
      <c r="G158" s="2"/>
      <c r="H158" s="2"/>
      <c r="I158" s="2"/>
      <c r="J158" s="2"/>
      <c r="K158" s="38"/>
      <c r="L158" s="2"/>
      <c r="M158" s="38"/>
      <c r="N158" s="38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2:25" ht="16" x14ac:dyDescent="0.2">
      <c r="B159" s="2"/>
      <c r="C159" s="2"/>
      <c r="D159" s="2"/>
      <c r="E159" s="2"/>
      <c r="F159" s="2"/>
      <c r="G159" s="2"/>
      <c r="H159" s="2"/>
      <c r="I159" s="2"/>
      <c r="J159" s="2"/>
      <c r="K159" s="38"/>
      <c r="L159" s="2"/>
      <c r="M159" s="38"/>
      <c r="N159" s="38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2:25" ht="16" x14ac:dyDescent="0.2">
      <c r="B160" s="2"/>
      <c r="C160" s="2"/>
      <c r="D160" s="2"/>
      <c r="E160" s="2"/>
      <c r="F160" s="2"/>
      <c r="G160" s="2"/>
      <c r="H160" s="2"/>
      <c r="I160" s="2"/>
      <c r="J160" s="2"/>
      <c r="K160" s="38"/>
      <c r="L160" s="2"/>
      <c r="M160" s="38"/>
      <c r="N160" s="38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2:25" ht="16" x14ac:dyDescent="0.2">
      <c r="B161" s="2"/>
      <c r="C161" s="2"/>
      <c r="D161" s="2"/>
      <c r="E161" s="2"/>
      <c r="F161" s="2"/>
      <c r="G161" s="2"/>
      <c r="H161" s="2"/>
      <c r="I161" s="2"/>
      <c r="J161" s="2"/>
      <c r="K161" s="38"/>
      <c r="L161" s="2"/>
      <c r="M161" s="38"/>
      <c r="N161" s="38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2:25" ht="16" x14ac:dyDescent="0.2">
      <c r="B162" s="2"/>
      <c r="C162" s="2"/>
      <c r="D162" s="2"/>
      <c r="E162" s="2"/>
      <c r="F162" s="2"/>
      <c r="G162" s="2"/>
      <c r="H162" s="2"/>
      <c r="I162" s="2"/>
      <c r="J162" s="2"/>
      <c r="K162" s="38"/>
      <c r="L162" s="2"/>
      <c r="M162" s="38"/>
      <c r="N162" s="38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2:25" ht="16" x14ac:dyDescent="0.2">
      <c r="B163" s="2"/>
      <c r="C163" s="2"/>
      <c r="D163" s="2"/>
      <c r="E163" s="2"/>
      <c r="F163" s="2"/>
      <c r="G163" s="2"/>
      <c r="H163" s="2"/>
      <c r="I163" s="2"/>
      <c r="J163" s="2"/>
      <c r="K163" s="38"/>
      <c r="L163" s="2"/>
      <c r="M163" s="38"/>
      <c r="N163" s="38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2:25" ht="16" x14ac:dyDescent="0.2">
      <c r="B164" s="2"/>
      <c r="C164" s="2"/>
      <c r="D164" s="2"/>
      <c r="E164" s="2"/>
      <c r="F164" s="2"/>
      <c r="G164" s="2"/>
      <c r="H164" s="2"/>
      <c r="I164" s="2"/>
      <c r="J164" s="2"/>
      <c r="K164" s="38"/>
      <c r="L164" s="2"/>
      <c r="M164" s="38"/>
      <c r="N164" s="38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2:25" ht="16" x14ac:dyDescent="0.2">
      <c r="B165" s="2"/>
      <c r="C165" s="2"/>
      <c r="D165" s="2"/>
      <c r="E165" s="2"/>
      <c r="F165" s="2"/>
      <c r="G165" s="2"/>
      <c r="H165" s="2"/>
      <c r="I165" s="2"/>
      <c r="J165" s="2"/>
      <c r="K165" s="38"/>
      <c r="L165" s="2"/>
      <c r="M165" s="38"/>
      <c r="N165" s="38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2:25" ht="16" x14ac:dyDescent="0.2">
      <c r="B166" s="2"/>
      <c r="C166" s="2"/>
      <c r="D166" s="2"/>
      <c r="E166" s="2"/>
      <c r="F166" s="2"/>
      <c r="G166" s="2"/>
      <c r="H166" s="2"/>
      <c r="I166" s="2"/>
      <c r="J166" s="2"/>
      <c r="K166" s="38"/>
      <c r="L166" s="2"/>
      <c r="M166" s="38"/>
      <c r="N166" s="38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2:25" ht="16" x14ac:dyDescent="0.2">
      <c r="B167" s="2"/>
      <c r="C167" s="2"/>
      <c r="D167" s="2"/>
      <c r="E167" s="2"/>
      <c r="F167" s="2"/>
      <c r="G167" s="2"/>
      <c r="H167" s="2"/>
      <c r="I167" s="2"/>
      <c r="J167" s="2"/>
      <c r="K167" s="38"/>
      <c r="L167" s="2"/>
      <c r="M167" s="38"/>
      <c r="N167" s="38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2:25" ht="16" x14ac:dyDescent="0.2">
      <c r="B168" s="2"/>
      <c r="C168" s="2"/>
      <c r="D168" s="2"/>
      <c r="E168" s="2"/>
      <c r="F168" s="2"/>
      <c r="G168" s="2"/>
      <c r="H168" s="2"/>
      <c r="I168" s="2"/>
      <c r="J168" s="2"/>
      <c r="K168" s="38"/>
      <c r="L168" s="2"/>
      <c r="M168" s="38"/>
      <c r="N168" s="38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2:25" ht="16" x14ac:dyDescent="0.2">
      <c r="B169" s="2"/>
      <c r="C169" s="2"/>
      <c r="D169" s="2"/>
      <c r="E169" s="2"/>
      <c r="F169" s="2"/>
      <c r="G169" s="2"/>
      <c r="H169" s="2"/>
      <c r="I169" s="2"/>
      <c r="J169" s="2"/>
      <c r="K169" s="38"/>
      <c r="L169" s="2"/>
      <c r="M169" s="38"/>
      <c r="N169" s="38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2:25" ht="16" x14ac:dyDescent="0.2">
      <c r="B170" s="2"/>
      <c r="C170" s="2"/>
      <c r="D170" s="2"/>
      <c r="E170" s="2"/>
      <c r="F170" s="2"/>
      <c r="G170" s="2"/>
      <c r="H170" s="2"/>
      <c r="I170" s="2"/>
      <c r="J170" s="2"/>
      <c r="K170" s="38"/>
      <c r="L170" s="2"/>
      <c r="M170" s="38"/>
      <c r="N170" s="38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2:25" ht="16" x14ac:dyDescent="0.2">
      <c r="B171" s="2"/>
      <c r="C171" s="2"/>
      <c r="D171" s="2"/>
      <c r="E171" s="2"/>
      <c r="F171" s="2"/>
      <c r="G171" s="2"/>
      <c r="H171" s="2"/>
      <c r="I171" s="2"/>
      <c r="J171" s="2"/>
      <c r="K171" s="38"/>
      <c r="L171" s="2"/>
      <c r="M171" s="38"/>
      <c r="N171" s="38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2:25" ht="16" x14ac:dyDescent="0.2">
      <c r="B172" s="2"/>
      <c r="C172" s="2"/>
      <c r="D172" s="2"/>
      <c r="E172" s="2"/>
      <c r="F172" s="2"/>
      <c r="G172" s="2"/>
      <c r="H172" s="2"/>
      <c r="I172" s="2"/>
      <c r="J172" s="2"/>
      <c r="K172" s="38"/>
      <c r="L172" s="2"/>
      <c r="M172" s="38"/>
      <c r="N172" s="38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2:25" ht="16" x14ac:dyDescent="0.2">
      <c r="B173" s="2"/>
      <c r="C173" s="2"/>
      <c r="D173" s="2"/>
      <c r="E173" s="2"/>
      <c r="F173" s="2"/>
      <c r="G173" s="2"/>
      <c r="H173" s="2"/>
      <c r="I173" s="2"/>
      <c r="J173" s="2"/>
      <c r="K173" s="38"/>
      <c r="L173" s="2"/>
      <c r="M173" s="38"/>
      <c r="N173" s="38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2:25" ht="16" x14ac:dyDescent="0.2">
      <c r="B174" s="2"/>
      <c r="C174" s="2"/>
      <c r="D174" s="2"/>
      <c r="E174" s="2"/>
      <c r="F174" s="2"/>
      <c r="G174" s="2"/>
      <c r="H174" s="2"/>
      <c r="I174" s="2"/>
      <c r="J174" s="2"/>
      <c r="K174" s="38"/>
      <c r="L174" s="2"/>
      <c r="M174" s="38"/>
      <c r="N174" s="38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2:25" ht="16" x14ac:dyDescent="0.2">
      <c r="B175" s="2"/>
      <c r="C175" s="2"/>
      <c r="D175" s="2"/>
      <c r="E175" s="2"/>
      <c r="F175" s="2"/>
      <c r="G175" s="2"/>
      <c r="H175" s="2"/>
      <c r="I175" s="2"/>
      <c r="J175" s="2"/>
      <c r="K175" s="38"/>
      <c r="L175" s="2"/>
      <c r="M175" s="38"/>
      <c r="N175" s="38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2:25" ht="16" x14ac:dyDescent="0.2">
      <c r="B176" s="2"/>
      <c r="C176" s="2"/>
      <c r="D176" s="2"/>
      <c r="E176" s="2"/>
      <c r="F176" s="2"/>
      <c r="G176" s="2"/>
      <c r="H176" s="2"/>
      <c r="I176" s="2"/>
      <c r="J176" s="2"/>
      <c r="K176" s="38"/>
      <c r="L176" s="2"/>
      <c r="M176" s="38"/>
      <c r="N176" s="38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2:25" ht="16" x14ac:dyDescent="0.2">
      <c r="B177" s="2"/>
      <c r="C177" s="2"/>
      <c r="D177" s="2"/>
      <c r="E177" s="2"/>
      <c r="F177" s="2"/>
      <c r="G177" s="2"/>
      <c r="H177" s="2"/>
      <c r="I177" s="2"/>
      <c r="J177" s="2"/>
      <c r="K177" s="38"/>
      <c r="L177" s="2"/>
      <c r="M177" s="38"/>
      <c r="N177" s="38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2:25" ht="16" x14ac:dyDescent="0.2">
      <c r="B178" s="2"/>
      <c r="C178" s="2"/>
      <c r="D178" s="2"/>
      <c r="E178" s="2"/>
      <c r="F178" s="2"/>
      <c r="G178" s="2"/>
      <c r="H178" s="2"/>
      <c r="I178" s="2"/>
      <c r="J178" s="2"/>
      <c r="K178" s="38"/>
      <c r="L178" s="2"/>
      <c r="M178" s="38"/>
      <c r="N178" s="38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2:25" ht="16" x14ac:dyDescent="0.2">
      <c r="B179" s="2"/>
      <c r="C179" s="2"/>
      <c r="D179" s="2"/>
      <c r="E179" s="2"/>
      <c r="F179" s="2"/>
      <c r="G179" s="2"/>
      <c r="H179" s="2"/>
      <c r="I179" s="2"/>
      <c r="J179" s="2"/>
      <c r="K179" s="38"/>
      <c r="L179" s="2"/>
      <c r="M179" s="38"/>
      <c r="N179" s="38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2:25" ht="16" x14ac:dyDescent="0.2">
      <c r="B180" s="2"/>
      <c r="C180" s="2"/>
      <c r="D180" s="2"/>
      <c r="E180" s="2"/>
      <c r="F180" s="2"/>
      <c r="G180" s="2"/>
      <c r="H180" s="2"/>
      <c r="I180" s="2"/>
      <c r="J180" s="2"/>
      <c r="K180" s="38"/>
      <c r="L180" s="2"/>
      <c r="M180" s="38"/>
      <c r="N180" s="38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2:25" ht="16" x14ac:dyDescent="0.2">
      <c r="B181" s="2"/>
      <c r="C181" s="2"/>
      <c r="D181" s="2"/>
      <c r="E181" s="2"/>
      <c r="F181" s="2"/>
      <c r="G181" s="2"/>
      <c r="H181" s="2"/>
      <c r="I181" s="2"/>
      <c r="J181" s="2"/>
      <c r="K181" s="38"/>
      <c r="L181" s="2"/>
      <c r="M181" s="38"/>
      <c r="N181" s="38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2:25" ht="16" x14ac:dyDescent="0.2">
      <c r="B182" s="2"/>
      <c r="C182" s="2"/>
      <c r="D182" s="2"/>
      <c r="E182" s="2"/>
      <c r="F182" s="2"/>
      <c r="G182" s="2"/>
      <c r="H182" s="2"/>
      <c r="I182" s="2"/>
      <c r="J182" s="2"/>
      <c r="K182" s="38"/>
      <c r="L182" s="2"/>
      <c r="M182" s="38"/>
      <c r="N182" s="38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2:25" ht="16" x14ac:dyDescent="0.2">
      <c r="B183" s="2"/>
      <c r="C183" s="2"/>
      <c r="D183" s="2"/>
      <c r="E183" s="2"/>
      <c r="F183" s="2"/>
      <c r="G183" s="2"/>
      <c r="H183" s="2"/>
      <c r="I183" s="2"/>
      <c r="J183" s="2"/>
      <c r="K183" s="38"/>
      <c r="L183" s="2"/>
      <c r="M183" s="38"/>
      <c r="N183" s="38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2:25" ht="16" x14ac:dyDescent="0.2">
      <c r="B184" s="2"/>
      <c r="C184" s="2"/>
      <c r="D184" s="2"/>
      <c r="E184" s="2"/>
      <c r="F184" s="2"/>
      <c r="G184" s="2"/>
      <c r="H184" s="2"/>
      <c r="I184" s="2"/>
      <c r="J184" s="2"/>
      <c r="K184" s="38"/>
      <c r="L184" s="2"/>
      <c r="M184" s="38"/>
      <c r="N184" s="38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2:25" ht="16" x14ac:dyDescent="0.2">
      <c r="B185" s="2"/>
      <c r="C185" s="2"/>
      <c r="D185" s="2"/>
      <c r="E185" s="2"/>
      <c r="F185" s="2"/>
      <c r="G185" s="2"/>
      <c r="H185" s="2"/>
      <c r="I185" s="2"/>
      <c r="J185" s="2"/>
      <c r="K185" s="38"/>
      <c r="L185" s="2"/>
      <c r="M185" s="38"/>
      <c r="N185" s="38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2:25" ht="16" x14ac:dyDescent="0.2">
      <c r="B186" s="2"/>
      <c r="C186" s="2"/>
      <c r="D186" s="2"/>
      <c r="E186" s="2"/>
      <c r="F186" s="2"/>
      <c r="G186" s="2"/>
      <c r="H186" s="2"/>
      <c r="I186" s="2"/>
      <c r="J186" s="2"/>
      <c r="K186" s="38"/>
      <c r="L186" s="2"/>
      <c r="M186" s="38"/>
      <c r="N186" s="38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2:25" ht="16" x14ac:dyDescent="0.2">
      <c r="B187" s="2"/>
      <c r="C187" s="2"/>
      <c r="D187" s="2"/>
      <c r="E187" s="2"/>
      <c r="F187" s="2"/>
      <c r="G187" s="2"/>
      <c r="H187" s="2"/>
      <c r="I187" s="2"/>
      <c r="J187" s="2"/>
      <c r="K187" s="38"/>
      <c r="L187" s="2"/>
      <c r="M187" s="38"/>
      <c r="N187" s="38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2:25" ht="16" x14ac:dyDescent="0.2">
      <c r="B188" s="2"/>
      <c r="C188" s="2"/>
      <c r="D188" s="2"/>
      <c r="E188" s="2"/>
      <c r="F188" s="2"/>
      <c r="G188" s="2"/>
      <c r="H188" s="2"/>
      <c r="I188" s="2"/>
      <c r="J188" s="2"/>
      <c r="K188" s="38"/>
      <c r="L188" s="2"/>
      <c r="M188" s="38"/>
      <c r="N188" s="38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2:25" ht="16" x14ac:dyDescent="0.2">
      <c r="B189" s="2"/>
      <c r="C189" s="2"/>
      <c r="D189" s="2"/>
      <c r="E189" s="2"/>
      <c r="F189" s="2"/>
      <c r="G189" s="2"/>
      <c r="H189" s="2"/>
      <c r="I189" s="2"/>
      <c r="J189" s="2"/>
      <c r="K189" s="38"/>
      <c r="L189" s="2"/>
      <c r="M189" s="38"/>
      <c r="N189" s="38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2:25" ht="16" x14ac:dyDescent="0.2">
      <c r="B190" s="2"/>
      <c r="C190" s="2"/>
      <c r="D190" s="2"/>
      <c r="E190" s="2"/>
      <c r="F190" s="2"/>
      <c r="G190" s="2"/>
      <c r="H190" s="2"/>
      <c r="I190" s="2"/>
      <c r="J190" s="2"/>
      <c r="K190" s="38"/>
      <c r="L190" s="2"/>
      <c r="M190" s="38"/>
      <c r="N190" s="38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2:25" ht="16" x14ac:dyDescent="0.2">
      <c r="B191" s="2"/>
      <c r="C191" s="2"/>
      <c r="D191" s="2"/>
      <c r="E191" s="2"/>
      <c r="F191" s="2"/>
      <c r="G191" s="2"/>
      <c r="H191" s="2"/>
      <c r="I191" s="2"/>
      <c r="J191" s="2"/>
      <c r="K191" s="38"/>
      <c r="L191" s="2"/>
      <c r="M191" s="38"/>
      <c r="N191" s="38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2:25" ht="16" x14ac:dyDescent="0.2">
      <c r="B192" s="2"/>
      <c r="C192" s="2"/>
      <c r="D192" s="2"/>
      <c r="E192" s="2"/>
      <c r="F192" s="2"/>
      <c r="G192" s="2"/>
      <c r="H192" s="2"/>
      <c r="I192" s="2"/>
      <c r="J192" s="2"/>
      <c r="K192" s="38"/>
      <c r="L192" s="2"/>
      <c r="M192" s="38"/>
      <c r="N192" s="38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2:25" ht="16" x14ac:dyDescent="0.2">
      <c r="B193" s="2"/>
      <c r="C193" s="2"/>
      <c r="D193" s="2"/>
      <c r="E193" s="2"/>
      <c r="F193" s="2"/>
      <c r="G193" s="2"/>
      <c r="H193" s="2"/>
      <c r="I193" s="2"/>
      <c r="J193" s="2"/>
      <c r="K193" s="38"/>
      <c r="L193" s="2"/>
      <c r="M193" s="38"/>
      <c r="N193" s="38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2:25" ht="16" x14ac:dyDescent="0.2">
      <c r="B194" s="2"/>
      <c r="C194" s="2"/>
      <c r="D194" s="2"/>
      <c r="E194" s="2"/>
      <c r="F194" s="2"/>
      <c r="G194" s="2"/>
      <c r="H194" s="2"/>
      <c r="I194" s="2"/>
      <c r="J194" s="2"/>
      <c r="K194" s="38"/>
      <c r="L194" s="2"/>
      <c r="M194" s="38"/>
      <c r="N194" s="38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2:25" ht="16" x14ac:dyDescent="0.2">
      <c r="B195" s="2"/>
      <c r="C195" s="2"/>
      <c r="D195" s="2"/>
      <c r="E195" s="2"/>
      <c r="F195" s="2"/>
      <c r="G195" s="2"/>
      <c r="H195" s="2"/>
      <c r="I195" s="2"/>
      <c r="J195" s="2"/>
      <c r="K195" s="38"/>
      <c r="L195" s="2"/>
      <c r="M195" s="38"/>
      <c r="N195" s="38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2:25" ht="16" x14ac:dyDescent="0.2">
      <c r="B196" s="2"/>
      <c r="C196" s="2"/>
      <c r="D196" s="2"/>
      <c r="E196" s="2"/>
      <c r="F196" s="2"/>
      <c r="G196" s="2"/>
      <c r="H196" s="2"/>
      <c r="I196" s="2"/>
      <c r="J196" s="2"/>
      <c r="K196" s="38"/>
      <c r="L196" s="2"/>
      <c r="M196" s="38"/>
      <c r="N196" s="38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2:25" ht="16" x14ac:dyDescent="0.2">
      <c r="B197" s="2"/>
      <c r="C197" s="2"/>
      <c r="D197" s="2"/>
      <c r="E197" s="2"/>
      <c r="F197" s="2"/>
      <c r="G197" s="2"/>
      <c r="H197" s="2"/>
      <c r="I197" s="2"/>
      <c r="J197" s="2"/>
      <c r="K197" s="38"/>
      <c r="L197" s="2"/>
      <c r="M197" s="38"/>
      <c r="N197" s="38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2:25" ht="16" x14ac:dyDescent="0.2">
      <c r="B198" s="2"/>
      <c r="C198" s="2"/>
      <c r="D198" s="2"/>
      <c r="E198" s="2"/>
      <c r="F198" s="2"/>
      <c r="G198" s="2"/>
      <c r="H198" s="2"/>
      <c r="I198" s="2"/>
      <c r="J198" s="2"/>
      <c r="K198" s="38"/>
      <c r="L198" s="2"/>
      <c r="M198" s="38"/>
      <c r="N198" s="38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2:25" ht="16" x14ac:dyDescent="0.2">
      <c r="B199" s="2"/>
      <c r="C199" s="2"/>
      <c r="D199" s="2"/>
      <c r="E199" s="2"/>
      <c r="F199" s="2"/>
      <c r="G199" s="2"/>
      <c r="H199" s="2"/>
      <c r="I199" s="2"/>
      <c r="J199" s="2"/>
      <c r="K199" s="38"/>
      <c r="L199" s="2"/>
      <c r="M199" s="38"/>
      <c r="N199" s="38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2:25" ht="16" x14ac:dyDescent="0.2">
      <c r="B200" s="2"/>
      <c r="C200" s="2"/>
      <c r="D200" s="2"/>
      <c r="E200" s="2"/>
      <c r="F200" s="2"/>
      <c r="G200" s="2"/>
      <c r="H200" s="2"/>
      <c r="I200" s="2"/>
      <c r="J200" s="2"/>
      <c r="K200" s="38"/>
      <c r="L200" s="2"/>
      <c r="M200" s="38"/>
      <c r="N200" s="38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2:25" ht="16" x14ac:dyDescent="0.2">
      <c r="B201" s="2"/>
      <c r="C201" s="2"/>
      <c r="D201" s="2"/>
      <c r="E201" s="2"/>
      <c r="F201" s="2"/>
      <c r="G201" s="2"/>
      <c r="H201" s="2"/>
      <c r="I201" s="2"/>
      <c r="J201" s="2"/>
      <c r="K201" s="38"/>
      <c r="L201" s="2"/>
      <c r="M201" s="38"/>
      <c r="N201" s="38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2:25" ht="16" x14ac:dyDescent="0.2">
      <c r="B202" s="2"/>
      <c r="C202" s="2"/>
      <c r="D202" s="2"/>
      <c r="E202" s="2"/>
      <c r="F202" s="2"/>
      <c r="G202" s="2"/>
      <c r="H202" s="2"/>
      <c r="I202" s="2"/>
      <c r="J202" s="2"/>
      <c r="K202" s="38"/>
      <c r="L202" s="2"/>
      <c r="M202" s="38"/>
      <c r="N202" s="38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2:25" ht="16" x14ac:dyDescent="0.2">
      <c r="B203" s="2"/>
      <c r="C203" s="2"/>
      <c r="D203" s="2"/>
      <c r="E203" s="2"/>
      <c r="F203" s="2"/>
      <c r="G203" s="2"/>
      <c r="H203" s="2"/>
      <c r="I203" s="2"/>
      <c r="J203" s="2"/>
      <c r="K203" s="38"/>
      <c r="L203" s="2"/>
      <c r="M203" s="38"/>
      <c r="N203" s="38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2:25" ht="16" x14ac:dyDescent="0.2">
      <c r="B204" s="2"/>
      <c r="C204" s="2"/>
      <c r="D204" s="2"/>
      <c r="E204" s="2"/>
      <c r="F204" s="2"/>
      <c r="G204" s="2"/>
      <c r="H204" s="2"/>
      <c r="I204" s="2"/>
      <c r="J204" s="2"/>
      <c r="K204" s="38"/>
      <c r="L204" s="2"/>
      <c r="M204" s="38"/>
      <c r="N204" s="38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2:25" ht="16" x14ac:dyDescent="0.2">
      <c r="B205" s="2"/>
      <c r="C205" s="2"/>
      <c r="D205" s="2"/>
      <c r="E205" s="2"/>
      <c r="F205" s="2"/>
      <c r="G205" s="2"/>
      <c r="H205" s="2"/>
      <c r="I205" s="2"/>
      <c r="J205" s="2"/>
      <c r="K205" s="38"/>
      <c r="L205" s="2"/>
      <c r="M205" s="38"/>
      <c r="N205" s="38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2:25" ht="16" x14ac:dyDescent="0.2">
      <c r="B206" s="2"/>
      <c r="C206" s="2"/>
      <c r="D206" s="2"/>
      <c r="E206" s="2"/>
      <c r="F206" s="2"/>
      <c r="G206" s="2"/>
      <c r="H206" s="2"/>
      <c r="I206" s="2"/>
      <c r="J206" s="2"/>
      <c r="K206" s="38"/>
      <c r="L206" s="2"/>
      <c r="M206" s="38"/>
      <c r="N206" s="38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2:25" ht="16" x14ac:dyDescent="0.2">
      <c r="B207" s="2"/>
      <c r="C207" s="2"/>
      <c r="D207" s="2"/>
      <c r="E207" s="2"/>
      <c r="F207" s="2"/>
      <c r="G207" s="2"/>
      <c r="H207" s="2"/>
      <c r="I207" s="2"/>
      <c r="J207" s="2"/>
      <c r="K207" s="38"/>
      <c r="L207" s="2"/>
      <c r="M207" s="38"/>
      <c r="N207" s="38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2:25" ht="16" x14ac:dyDescent="0.2">
      <c r="B208" s="2"/>
      <c r="C208" s="2"/>
      <c r="D208" s="2"/>
      <c r="E208" s="2"/>
      <c r="F208" s="2"/>
      <c r="G208" s="2"/>
      <c r="H208" s="2"/>
      <c r="I208" s="2"/>
      <c r="J208" s="2"/>
      <c r="K208" s="38"/>
      <c r="L208" s="2"/>
      <c r="M208" s="38"/>
      <c r="N208" s="38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2:25" ht="16" x14ac:dyDescent="0.2">
      <c r="B209" s="2"/>
      <c r="C209" s="2"/>
      <c r="D209" s="2"/>
      <c r="E209" s="2"/>
      <c r="F209" s="2"/>
      <c r="G209" s="2"/>
      <c r="H209" s="2"/>
      <c r="I209" s="2"/>
      <c r="J209" s="2"/>
      <c r="K209" s="38"/>
      <c r="L209" s="2"/>
      <c r="M209" s="38"/>
      <c r="N209" s="38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2:25" ht="16" x14ac:dyDescent="0.2">
      <c r="B210" s="2"/>
      <c r="C210" s="2"/>
      <c r="D210" s="2"/>
      <c r="E210" s="2"/>
      <c r="F210" s="2"/>
      <c r="G210" s="2"/>
      <c r="H210" s="2"/>
      <c r="I210" s="2"/>
      <c r="J210" s="2"/>
      <c r="K210" s="38"/>
      <c r="L210" s="2"/>
      <c r="M210" s="38"/>
      <c r="N210" s="38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2:25" ht="16" x14ac:dyDescent="0.2">
      <c r="B211" s="2"/>
      <c r="C211" s="2"/>
      <c r="D211" s="2"/>
      <c r="E211" s="2"/>
      <c r="F211" s="2"/>
      <c r="G211" s="2"/>
      <c r="H211" s="2"/>
      <c r="I211" s="2"/>
      <c r="J211" s="2"/>
      <c r="K211" s="38"/>
      <c r="L211" s="2"/>
      <c r="M211" s="38"/>
      <c r="N211" s="38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2:25" ht="16" x14ac:dyDescent="0.2">
      <c r="B212" s="2"/>
      <c r="C212" s="2"/>
      <c r="D212" s="2"/>
      <c r="E212" s="2"/>
      <c r="F212" s="2"/>
      <c r="G212" s="2"/>
      <c r="H212" s="2"/>
      <c r="I212" s="2"/>
      <c r="J212" s="2"/>
      <c r="K212" s="38"/>
      <c r="L212" s="2"/>
      <c r="M212" s="38"/>
      <c r="N212" s="38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2:25" ht="16" x14ac:dyDescent="0.2">
      <c r="B213" s="2"/>
      <c r="C213" s="2"/>
      <c r="D213" s="2"/>
      <c r="E213" s="2"/>
      <c r="F213" s="2"/>
      <c r="G213" s="2"/>
      <c r="H213" s="2"/>
      <c r="I213" s="2"/>
      <c r="J213" s="2"/>
      <c r="K213" s="38"/>
      <c r="L213" s="2"/>
      <c r="M213" s="38"/>
      <c r="N213" s="38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2:25" ht="16" x14ac:dyDescent="0.2">
      <c r="B214" s="2"/>
      <c r="C214" s="2"/>
      <c r="D214" s="2"/>
      <c r="E214" s="2"/>
      <c r="F214" s="2"/>
      <c r="G214" s="2"/>
      <c r="H214" s="2"/>
      <c r="I214" s="2"/>
      <c r="J214" s="2"/>
      <c r="K214" s="38"/>
      <c r="L214" s="2"/>
      <c r="M214" s="38"/>
      <c r="N214" s="38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2:25" ht="16" x14ac:dyDescent="0.2">
      <c r="B215" s="2"/>
      <c r="C215" s="2"/>
      <c r="D215" s="2"/>
      <c r="E215" s="2"/>
      <c r="F215" s="2"/>
      <c r="G215" s="2"/>
      <c r="H215" s="2"/>
      <c r="I215" s="2"/>
      <c r="J215" s="2"/>
      <c r="K215" s="38"/>
      <c r="L215" s="2"/>
      <c r="M215" s="38"/>
      <c r="N215" s="38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2:25" ht="16" x14ac:dyDescent="0.2">
      <c r="B216" s="2"/>
      <c r="C216" s="2"/>
      <c r="D216" s="2"/>
      <c r="E216" s="2"/>
      <c r="F216" s="2"/>
      <c r="G216" s="2"/>
      <c r="H216" s="2"/>
      <c r="I216" s="2"/>
      <c r="J216" s="2"/>
      <c r="K216" s="38"/>
      <c r="L216" s="2"/>
      <c r="M216" s="38"/>
      <c r="N216" s="38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2:25" ht="16" x14ac:dyDescent="0.2">
      <c r="B217" s="2"/>
      <c r="C217" s="2"/>
      <c r="D217" s="2"/>
      <c r="E217" s="2"/>
      <c r="F217" s="2"/>
      <c r="G217" s="2"/>
      <c r="H217" s="2"/>
      <c r="I217" s="2"/>
      <c r="J217" s="2"/>
      <c r="K217" s="38"/>
      <c r="L217" s="2"/>
      <c r="M217" s="38"/>
      <c r="N217" s="38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2:25" ht="16" x14ac:dyDescent="0.2">
      <c r="B218" s="2"/>
      <c r="C218" s="2"/>
      <c r="D218" s="2"/>
      <c r="E218" s="2"/>
      <c r="F218" s="2"/>
      <c r="G218" s="2"/>
      <c r="H218" s="2"/>
      <c r="I218" s="2"/>
      <c r="J218" s="2"/>
      <c r="K218" s="38"/>
      <c r="L218" s="2"/>
      <c r="M218" s="38"/>
      <c r="N218" s="38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2:25" ht="16" x14ac:dyDescent="0.2">
      <c r="B219" s="2"/>
      <c r="C219" s="2"/>
      <c r="D219" s="2"/>
      <c r="E219" s="2"/>
      <c r="F219" s="2"/>
      <c r="G219" s="2"/>
      <c r="H219" s="2"/>
      <c r="I219" s="2"/>
      <c r="J219" s="2"/>
      <c r="K219" s="38"/>
      <c r="L219" s="2"/>
      <c r="M219" s="38"/>
      <c r="N219" s="38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2:25" ht="16" x14ac:dyDescent="0.2">
      <c r="B220" s="2"/>
      <c r="C220" s="2"/>
      <c r="D220" s="2"/>
      <c r="E220" s="2"/>
      <c r="F220" s="2"/>
      <c r="G220" s="2"/>
      <c r="H220" s="2"/>
      <c r="I220" s="2"/>
      <c r="J220" s="2"/>
      <c r="K220" s="38"/>
      <c r="L220" s="2"/>
      <c r="M220" s="38"/>
      <c r="N220" s="38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2:25" ht="16" x14ac:dyDescent="0.2">
      <c r="B221" s="2"/>
      <c r="C221" s="2"/>
      <c r="D221" s="2"/>
      <c r="E221" s="2"/>
      <c r="F221" s="2"/>
      <c r="G221" s="2"/>
      <c r="H221" s="2"/>
      <c r="I221" s="2"/>
      <c r="J221" s="2"/>
      <c r="K221" s="38"/>
      <c r="L221" s="2"/>
      <c r="M221" s="38"/>
      <c r="N221" s="38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2:25" ht="16" x14ac:dyDescent="0.2">
      <c r="B222" s="2"/>
      <c r="C222" s="2"/>
      <c r="D222" s="2"/>
      <c r="E222" s="2"/>
      <c r="F222" s="2"/>
      <c r="G222" s="2"/>
      <c r="H222" s="2"/>
      <c r="I222" s="2"/>
      <c r="J222" s="2"/>
      <c r="K222" s="38"/>
      <c r="L222" s="2"/>
      <c r="M222" s="38"/>
      <c r="N222" s="38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2:25" ht="16" x14ac:dyDescent="0.2">
      <c r="B223" s="2"/>
      <c r="C223" s="2"/>
      <c r="D223" s="2"/>
      <c r="E223" s="2"/>
      <c r="F223" s="2"/>
      <c r="G223" s="2"/>
      <c r="H223" s="2"/>
      <c r="I223" s="2"/>
      <c r="J223" s="2"/>
      <c r="K223" s="38"/>
      <c r="L223" s="2"/>
      <c r="M223" s="38"/>
      <c r="N223" s="38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2:25" ht="16" x14ac:dyDescent="0.2">
      <c r="B224" s="2"/>
      <c r="C224" s="2"/>
      <c r="D224" s="2"/>
      <c r="E224" s="2"/>
      <c r="F224" s="2"/>
      <c r="G224" s="2"/>
      <c r="H224" s="2"/>
      <c r="I224" s="2"/>
      <c r="J224" s="2"/>
      <c r="K224" s="38"/>
      <c r="L224" s="2"/>
      <c r="M224" s="38"/>
      <c r="N224" s="38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2:25" ht="16" x14ac:dyDescent="0.2">
      <c r="B225" s="2"/>
      <c r="C225" s="2"/>
      <c r="D225" s="2"/>
      <c r="E225" s="2"/>
      <c r="F225" s="2"/>
      <c r="G225" s="2"/>
      <c r="H225" s="2"/>
      <c r="I225" s="2"/>
      <c r="J225" s="2"/>
      <c r="K225" s="38"/>
      <c r="L225" s="2"/>
      <c r="M225" s="38"/>
      <c r="N225" s="38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2:25" ht="16" x14ac:dyDescent="0.2">
      <c r="B226" s="2"/>
      <c r="C226" s="2"/>
      <c r="D226" s="2"/>
      <c r="E226" s="2"/>
      <c r="F226" s="2"/>
      <c r="G226" s="2"/>
      <c r="H226" s="2"/>
      <c r="I226" s="2"/>
      <c r="J226" s="2"/>
      <c r="K226" s="38"/>
      <c r="L226" s="2"/>
      <c r="M226" s="38"/>
      <c r="N226" s="38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2:25" ht="16" x14ac:dyDescent="0.2">
      <c r="B227" s="2"/>
      <c r="C227" s="2"/>
      <c r="D227" s="2"/>
      <c r="E227" s="2"/>
      <c r="F227" s="2"/>
      <c r="G227" s="2"/>
      <c r="H227" s="2"/>
      <c r="I227" s="2"/>
      <c r="J227" s="2"/>
      <c r="K227" s="38"/>
      <c r="L227" s="2"/>
      <c r="M227" s="38"/>
      <c r="N227" s="38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2:25" ht="16" x14ac:dyDescent="0.2">
      <c r="B228" s="2"/>
      <c r="C228" s="2"/>
      <c r="D228" s="2"/>
      <c r="E228" s="2"/>
      <c r="F228" s="2"/>
      <c r="G228" s="2"/>
      <c r="H228" s="2"/>
      <c r="I228" s="2"/>
      <c r="J228" s="2"/>
      <c r="K228" s="38"/>
      <c r="L228" s="2"/>
      <c r="M228" s="38"/>
      <c r="N228" s="38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2:25" ht="16" x14ac:dyDescent="0.2">
      <c r="B229" s="2"/>
      <c r="C229" s="2"/>
      <c r="D229" s="2"/>
      <c r="E229" s="2"/>
      <c r="F229" s="2"/>
      <c r="G229" s="2"/>
      <c r="H229" s="2"/>
      <c r="I229" s="2"/>
      <c r="J229" s="2"/>
      <c r="K229" s="38"/>
      <c r="L229" s="2"/>
      <c r="M229" s="38"/>
      <c r="N229" s="38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2:25" ht="16" x14ac:dyDescent="0.2">
      <c r="B230" s="2"/>
      <c r="C230" s="2"/>
      <c r="D230" s="2"/>
      <c r="E230" s="2"/>
      <c r="F230" s="2"/>
      <c r="G230" s="2"/>
      <c r="H230" s="2"/>
      <c r="I230" s="2"/>
      <c r="J230" s="2"/>
      <c r="K230" s="38"/>
      <c r="L230" s="2"/>
      <c r="M230" s="38"/>
      <c r="N230" s="38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2:25" ht="16" x14ac:dyDescent="0.2">
      <c r="B231" s="2"/>
      <c r="C231" s="2"/>
      <c r="D231" s="2"/>
      <c r="E231" s="2"/>
      <c r="F231" s="2"/>
      <c r="G231" s="2"/>
      <c r="H231" s="2"/>
      <c r="I231" s="2"/>
      <c r="J231" s="2"/>
      <c r="K231" s="38"/>
      <c r="L231" s="2"/>
      <c r="M231" s="38"/>
      <c r="N231" s="38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2:25" ht="16" x14ac:dyDescent="0.2">
      <c r="B232" s="2"/>
      <c r="C232" s="2"/>
      <c r="D232" s="2"/>
      <c r="E232" s="2"/>
      <c r="F232" s="2"/>
      <c r="G232" s="2"/>
      <c r="H232" s="2"/>
      <c r="I232" s="2"/>
      <c r="J232" s="2"/>
      <c r="K232" s="38"/>
      <c r="L232" s="2"/>
      <c r="M232" s="38"/>
      <c r="N232" s="38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2:25" ht="16" x14ac:dyDescent="0.2">
      <c r="B233" s="2"/>
      <c r="C233" s="2"/>
      <c r="D233" s="2"/>
      <c r="E233" s="2"/>
      <c r="F233" s="2"/>
      <c r="G233" s="2"/>
      <c r="H233" s="2"/>
      <c r="I233" s="2"/>
      <c r="J233" s="2"/>
      <c r="K233" s="38"/>
      <c r="L233" s="2"/>
      <c r="M233" s="38"/>
      <c r="N233" s="38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2:25" ht="16" x14ac:dyDescent="0.2">
      <c r="B234" s="2"/>
      <c r="C234" s="2"/>
      <c r="D234" s="2"/>
      <c r="E234" s="2"/>
      <c r="F234" s="2"/>
      <c r="G234" s="2"/>
      <c r="H234" s="2"/>
      <c r="I234" s="2"/>
      <c r="J234" s="2"/>
      <c r="K234" s="38"/>
      <c r="L234" s="2"/>
      <c r="M234" s="38"/>
      <c r="N234" s="38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2:25" ht="16" x14ac:dyDescent="0.2">
      <c r="B235" s="2"/>
      <c r="C235" s="2"/>
      <c r="D235" s="2"/>
      <c r="E235" s="2"/>
      <c r="F235" s="2"/>
      <c r="G235" s="2"/>
      <c r="H235" s="2"/>
      <c r="I235" s="2"/>
      <c r="J235" s="2"/>
      <c r="K235" s="38"/>
      <c r="L235" s="2"/>
      <c r="M235" s="38"/>
      <c r="N235" s="38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2:25" ht="16" x14ac:dyDescent="0.2">
      <c r="B236" s="2"/>
      <c r="C236" s="2"/>
      <c r="D236" s="2"/>
      <c r="E236" s="2"/>
      <c r="F236" s="2"/>
      <c r="G236" s="2"/>
      <c r="H236" s="2"/>
      <c r="I236" s="2"/>
      <c r="J236" s="2"/>
      <c r="K236" s="38"/>
      <c r="L236" s="2"/>
      <c r="M236" s="38"/>
      <c r="N236" s="38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2:25" ht="16" x14ac:dyDescent="0.2">
      <c r="B237" s="2"/>
      <c r="C237" s="2"/>
      <c r="D237" s="2"/>
      <c r="E237" s="2"/>
      <c r="F237" s="2"/>
      <c r="G237" s="2"/>
      <c r="H237" s="2"/>
      <c r="I237" s="2"/>
      <c r="J237" s="2"/>
      <c r="K237" s="38"/>
      <c r="L237" s="2"/>
      <c r="M237" s="38"/>
      <c r="N237" s="38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2:25" ht="16" x14ac:dyDescent="0.2">
      <c r="B238" s="2"/>
      <c r="C238" s="2"/>
      <c r="D238" s="2"/>
      <c r="E238" s="2"/>
      <c r="F238" s="2"/>
      <c r="G238" s="2"/>
      <c r="H238" s="2"/>
      <c r="I238" s="2"/>
      <c r="J238" s="2"/>
      <c r="K238" s="38"/>
      <c r="L238" s="2"/>
      <c r="M238" s="38"/>
      <c r="N238" s="38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2:25" ht="16" x14ac:dyDescent="0.2">
      <c r="B239" s="2"/>
      <c r="C239" s="2"/>
      <c r="D239" s="2"/>
      <c r="E239" s="2"/>
      <c r="F239" s="2"/>
      <c r="G239" s="2"/>
      <c r="H239" s="2"/>
      <c r="I239" s="2"/>
      <c r="J239" s="2"/>
      <c r="K239" s="38"/>
      <c r="L239" s="2"/>
      <c r="M239" s="38"/>
      <c r="N239" s="38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2:25" ht="16" x14ac:dyDescent="0.2">
      <c r="B240" s="2"/>
      <c r="C240" s="2"/>
      <c r="D240" s="2"/>
      <c r="E240" s="2"/>
      <c r="F240" s="2"/>
      <c r="G240" s="2"/>
      <c r="H240" s="2"/>
      <c r="I240" s="2"/>
      <c r="J240" s="2"/>
      <c r="K240" s="38"/>
      <c r="L240" s="2"/>
      <c r="M240" s="38"/>
      <c r="N240" s="38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2:25" ht="16" x14ac:dyDescent="0.2">
      <c r="B241" s="2"/>
      <c r="C241" s="2"/>
      <c r="D241" s="2"/>
      <c r="E241" s="2"/>
      <c r="F241" s="2"/>
      <c r="G241" s="2"/>
      <c r="H241" s="2"/>
      <c r="I241" s="2"/>
      <c r="J241" s="2"/>
      <c r="K241" s="38"/>
      <c r="L241" s="2"/>
      <c r="M241" s="38"/>
      <c r="N241" s="38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2:25" ht="16" x14ac:dyDescent="0.2">
      <c r="B242" s="2"/>
      <c r="C242" s="2"/>
      <c r="D242" s="2"/>
      <c r="E242" s="2"/>
      <c r="F242" s="2"/>
      <c r="G242" s="2"/>
      <c r="H242" s="2"/>
      <c r="I242" s="2"/>
      <c r="J242" s="2"/>
      <c r="K242" s="38"/>
      <c r="L242" s="2"/>
      <c r="M242" s="38"/>
      <c r="N242" s="38"/>
      <c r="S242" s="2"/>
      <c r="T242" s="2"/>
      <c r="U242" s="2"/>
      <c r="V242" s="2"/>
      <c r="W242" s="2"/>
      <c r="X242" s="2"/>
      <c r="Y242" s="2"/>
    </row>
    <row r="243" spans="2:25" ht="16" x14ac:dyDescent="0.2">
      <c r="B243" s="2"/>
      <c r="C243" s="2"/>
      <c r="D243" s="2"/>
      <c r="E243" s="2"/>
      <c r="F243" s="2"/>
      <c r="G243" s="2"/>
      <c r="H243" s="2"/>
      <c r="I243" s="2"/>
      <c r="J243" s="2"/>
      <c r="K243" s="38"/>
      <c r="L243" s="2"/>
      <c r="M243" s="38"/>
      <c r="N243" s="38"/>
      <c r="S243" s="2"/>
      <c r="T243" s="2"/>
      <c r="U243" s="2"/>
      <c r="V243" s="2"/>
      <c r="W243" s="2"/>
      <c r="X243" s="2"/>
      <c r="Y243" s="2"/>
    </row>
  </sheetData>
  <mergeCells count="3">
    <mergeCell ref="B2:I2"/>
    <mergeCell ref="O2:R2"/>
    <mergeCell ref="K2:M2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" sqref="B1:R1"/>
    </sheetView>
  </sheetViews>
  <sheetFormatPr baseColWidth="10" defaultColWidth="20.5" defaultRowHeight="15" customHeight="1" x14ac:dyDescent="0.2"/>
  <cols>
    <col min="1" max="1" width="11.6640625" style="18" bestFit="1" customWidth="1"/>
    <col min="2" max="2" width="15.83203125" style="18" bestFit="1" customWidth="1"/>
    <col min="3" max="3" width="14.1640625" style="18" bestFit="1" customWidth="1"/>
    <col min="4" max="4" width="29.33203125" style="18" bestFit="1" customWidth="1"/>
    <col min="5" max="5" width="24.83203125" style="18" bestFit="1" customWidth="1"/>
    <col min="6" max="6" width="17" style="18" bestFit="1" customWidth="1"/>
    <col min="7" max="7" width="14" style="18" bestFit="1" customWidth="1"/>
    <col min="8" max="8" width="27.1640625" style="18" bestFit="1" customWidth="1"/>
    <col min="9" max="9" width="24.5" style="18" bestFit="1" customWidth="1"/>
    <col min="10" max="10" width="29.6640625" style="18" bestFit="1" customWidth="1"/>
    <col min="11" max="11" width="16.83203125" style="18" bestFit="1" customWidth="1"/>
    <col min="12" max="12" width="15" style="18" bestFit="1" customWidth="1"/>
    <col min="13" max="13" width="20" style="18" bestFit="1" customWidth="1"/>
    <col min="14" max="14" width="18.1640625" style="18" bestFit="1" customWidth="1"/>
    <col min="15" max="15" width="27.83203125" style="18" bestFit="1" customWidth="1"/>
    <col min="16" max="16" width="18" style="18" bestFit="1" customWidth="1"/>
    <col min="17" max="17" width="27.83203125" style="18" bestFit="1" customWidth="1"/>
    <col min="18" max="18" width="19.5" style="18" bestFit="1" customWidth="1"/>
    <col min="19" max="16384" width="20.5" style="18"/>
  </cols>
  <sheetData>
    <row r="1" spans="1:18" ht="14.25" customHeight="1" x14ac:dyDescent="0.2">
      <c r="A1" s="17" t="s">
        <v>61</v>
      </c>
      <c r="B1" s="17" t="s">
        <v>62</v>
      </c>
      <c r="C1" s="17" t="s">
        <v>63</v>
      </c>
      <c r="D1" s="17" t="s">
        <v>64</v>
      </c>
      <c r="E1" s="17" t="s">
        <v>65</v>
      </c>
      <c r="F1" s="17" t="s">
        <v>66</v>
      </c>
      <c r="G1" s="17" t="s">
        <v>67</v>
      </c>
      <c r="H1" s="17" t="s">
        <v>68</v>
      </c>
      <c r="I1" s="17" t="s">
        <v>95</v>
      </c>
      <c r="J1" s="17" t="s">
        <v>70</v>
      </c>
      <c r="K1" s="17" t="s">
        <v>71</v>
      </c>
      <c r="L1" s="17" t="s">
        <v>72</v>
      </c>
      <c r="M1" s="17" t="s">
        <v>73</v>
      </c>
      <c r="N1" s="17" t="s">
        <v>74</v>
      </c>
      <c r="O1" s="17" t="s">
        <v>75</v>
      </c>
      <c r="P1" s="17" t="s">
        <v>76</v>
      </c>
      <c r="Q1" s="17" t="s">
        <v>77</v>
      </c>
      <c r="R1" s="17" t="s">
        <v>78</v>
      </c>
    </row>
    <row r="2" spans="1:18" ht="14.25" customHeight="1" x14ac:dyDescent="0.2">
      <c r="A2" s="16">
        <v>1</v>
      </c>
      <c r="B2" s="18">
        <v>0.99329708093698432</v>
      </c>
      <c r="C2" s="14">
        <v>-3.9246733135815264</v>
      </c>
      <c r="D2" s="18">
        <v>0.98546510907239626</v>
      </c>
      <c r="E2" s="14">
        <v>5.0575365177453335</v>
      </c>
      <c r="F2" s="18">
        <v>1.2666833699308226</v>
      </c>
      <c r="G2" s="14">
        <v>-3.3426159356463363</v>
      </c>
      <c r="H2" s="18">
        <v>5.2781848067290396</v>
      </c>
      <c r="I2" s="14">
        <v>6.6121816439591585</v>
      </c>
      <c r="J2" s="18">
        <v>4.8635520871538009</v>
      </c>
      <c r="K2" s="18">
        <v>3.5928541146985915</v>
      </c>
      <c r="L2" s="14">
        <v>7.1522222181609516</v>
      </c>
      <c r="M2" s="18">
        <v>6.6175801542376469</v>
      </c>
      <c r="N2" s="14">
        <v>-1.182415580443626</v>
      </c>
      <c r="O2" s="14">
        <v>-0.87098636353947345</v>
      </c>
      <c r="P2" s="14">
        <v>-0.55112083503705367</v>
      </c>
      <c r="Q2" s="14">
        <v>-0.95238361524292658</v>
      </c>
      <c r="R2" s="14">
        <v>-0.80982206507374621</v>
      </c>
    </row>
    <row r="3" spans="1:18" ht="14.25" customHeight="1" x14ac:dyDescent="0.2"/>
    <row r="4" spans="1:18" ht="14.25" customHeight="1" x14ac:dyDescent="0.2"/>
    <row r="5" spans="1:18" ht="14.25" customHeight="1" x14ac:dyDescent="0.2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</row>
    <row r="6" spans="1:18" ht="14.25" customHeight="1" x14ac:dyDescent="0.2"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</row>
    <row r="7" spans="1:18" ht="14.25" customHeight="1" x14ac:dyDescent="0.2"/>
    <row r="8" spans="1:18" ht="14.25" customHeight="1" x14ac:dyDescent="0.2"/>
    <row r="9" spans="1:18" ht="14.25" customHeight="1" x14ac:dyDescent="0.2"/>
    <row r="10" spans="1:18" ht="14.25" customHeight="1" x14ac:dyDescent="0.2"/>
    <row r="11" spans="1:18" ht="14.25" customHeight="1" x14ac:dyDescent="0.2"/>
    <row r="12" spans="1:18" ht="14.25" customHeight="1" x14ac:dyDescent="0.2"/>
    <row r="13" spans="1:18" ht="14.25" customHeight="1" x14ac:dyDescent="0.2"/>
    <row r="14" spans="1:18" ht="14.25" customHeight="1" x14ac:dyDescent="0.2"/>
    <row r="15" spans="1:18" ht="14.25" customHeight="1" x14ac:dyDescent="0.2"/>
    <row r="16" spans="1:18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0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1" sqref="F1:F1048576"/>
    </sheetView>
  </sheetViews>
  <sheetFormatPr baseColWidth="10" defaultColWidth="7.83203125" defaultRowHeight="15" customHeight="1" x14ac:dyDescent="0.15"/>
  <cols>
    <col min="1" max="1" width="8.33203125" bestFit="1" customWidth="1"/>
    <col min="2" max="2" width="14.5" style="11" bestFit="1" customWidth="1"/>
    <col min="3" max="3" width="13" style="11" bestFit="1" customWidth="1"/>
    <col min="4" max="4" width="26.6640625" style="11" bestFit="1" customWidth="1"/>
    <col min="5" max="5" width="22.5" style="11" bestFit="1" customWidth="1"/>
    <col min="6" max="6" width="15.5" style="11" bestFit="1" customWidth="1"/>
    <col min="7" max="7" width="12.83203125" style="11" bestFit="1" customWidth="1"/>
    <col min="8" max="8" width="24.5" style="11" bestFit="1" customWidth="1"/>
    <col min="9" max="9" width="22.33203125" style="11" bestFit="1" customWidth="1"/>
    <col min="10" max="10" width="27.33203125" style="11" bestFit="1" customWidth="1"/>
    <col min="11" max="11" width="15" style="11" bestFit="1" customWidth="1"/>
    <col min="12" max="12" width="13.5" style="11" bestFit="1" customWidth="1"/>
    <col min="13" max="13" width="18.33203125" style="11" bestFit="1" customWidth="1"/>
    <col min="14" max="14" width="16.5" style="11" bestFit="1" customWidth="1"/>
    <col min="15" max="15" width="25" style="11" bestFit="1" customWidth="1"/>
    <col min="16" max="16" width="16.33203125" style="11" bestFit="1" customWidth="1"/>
    <col min="17" max="17" width="25" style="11" bestFit="1" customWidth="1"/>
    <col min="18" max="18" width="17.33203125" style="11" bestFit="1" customWidth="1"/>
    <col min="19" max="16384" width="7.83203125" style="11"/>
  </cols>
  <sheetData>
    <row r="1" spans="1:27" ht="14.25" customHeight="1" x14ac:dyDescent="0.15">
      <c r="A1" s="3" t="s">
        <v>79</v>
      </c>
      <c r="B1" s="9" t="s">
        <v>62</v>
      </c>
      <c r="C1" s="9" t="s">
        <v>63</v>
      </c>
      <c r="D1" s="9" t="s">
        <v>64</v>
      </c>
      <c r="E1" s="9" t="s">
        <v>65</v>
      </c>
      <c r="F1" s="9" t="s">
        <v>66</v>
      </c>
      <c r="G1" s="9" t="s">
        <v>67</v>
      </c>
      <c r="H1" s="9" t="s">
        <v>68</v>
      </c>
      <c r="I1" s="9" t="s">
        <v>95</v>
      </c>
      <c r="J1" s="9" t="s">
        <v>70</v>
      </c>
      <c r="K1" s="9" t="s">
        <v>71</v>
      </c>
      <c r="L1" s="9" t="s">
        <v>72</v>
      </c>
      <c r="M1" s="9" t="s">
        <v>73</v>
      </c>
      <c r="N1" s="9" t="s">
        <v>74</v>
      </c>
      <c r="O1" s="9" t="s">
        <v>75</v>
      </c>
      <c r="P1" s="9" t="s">
        <v>76</v>
      </c>
      <c r="Q1" s="9" t="s">
        <v>77</v>
      </c>
      <c r="R1" s="9" t="s">
        <v>78</v>
      </c>
      <c r="S1" s="10"/>
      <c r="T1" s="10"/>
      <c r="U1" s="10"/>
      <c r="V1" s="10"/>
      <c r="W1" s="10"/>
      <c r="X1" s="10"/>
      <c r="Y1" s="10"/>
      <c r="Z1" s="10"/>
      <c r="AA1" s="10"/>
    </row>
    <row r="2" spans="1:27" ht="14.25" customHeight="1" x14ac:dyDescent="0.2">
      <c r="A2" s="5" t="s">
        <v>33</v>
      </c>
      <c r="B2" s="12">
        <v>0</v>
      </c>
      <c r="C2" s="12">
        <v>0</v>
      </c>
      <c r="D2" s="12">
        <v>0</v>
      </c>
      <c r="E2" s="12">
        <v>0</v>
      </c>
      <c r="F2" s="12">
        <v>0</v>
      </c>
      <c r="G2" s="12">
        <v>0</v>
      </c>
      <c r="H2" s="12">
        <v>0</v>
      </c>
      <c r="I2" s="12">
        <v>0</v>
      </c>
      <c r="J2" s="12">
        <v>0</v>
      </c>
      <c r="K2" s="12">
        <v>0</v>
      </c>
      <c r="L2" s="12">
        <v>0</v>
      </c>
      <c r="M2" s="12">
        <v>0</v>
      </c>
      <c r="N2" s="12">
        <v>0</v>
      </c>
      <c r="O2" s="12">
        <v>0</v>
      </c>
      <c r="P2" s="12">
        <v>0</v>
      </c>
      <c r="Q2" s="12">
        <v>0</v>
      </c>
      <c r="R2" s="12">
        <v>0</v>
      </c>
      <c r="S2" s="13"/>
      <c r="T2" s="13"/>
      <c r="U2" s="13"/>
      <c r="V2" s="13"/>
      <c r="W2" s="13"/>
    </row>
    <row r="3" spans="1:27" ht="14.25" customHeight="1" x14ac:dyDescent="0.2">
      <c r="A3" s="5">
        <v>0</v>
      </c>
      <c r="B3" s="12">
        <v>0</v>
      </c>
      <c r="C3" s="12">
        <v>0</v>
      </c>
      <c r="D3" s="12">
        <v>0</v>
      </c>
      <c r="E3" s="12">
        <v>0</v>
      </c>
      <c r="F3" s="12">
        <v>0</v>
      </c>
      <c r="G3" s="12">
        <v>0</v>
      </c>
      <c r="H3" s="12">
        <v>0</v>
      </c>
      <c r="I3" s="12">
        <v>0</v>
      </c>
      <c r="J3" s="12">
        <v>0</v>
      </c>
      <c r="K3" s="12">
        <v>0</v>
      </c>
      <c r="L3" s="12">
        <v>0</v>
      </c>
      <c r="M3" s="12">
        <v>0</v>
      </c>
      <c r="N3" s="12">
        <v>0</v>
      </c>
      <c r="O3" s="12">
        <v>0</v>
      </c>
      <c r="P3" s="12">
        <v>0</v>
      </c>
      <c r="Q3" s="12">
        <v>0</v>
      </c>
      <c r="R3" s="12">
        <v>0</v>
      </c>
      <c r="S3" s="13"/>
      <c r="T3" s="13"/>
      <c r="U3" s="13"/>
      <c r="V3" s="13"/>
      <c r="W3" s="13"/>
    </row>
    <row r="4" spans="1:27" ht="14.25" customHeight="1" x14ac:dyDescent="0.2">
      <c r="A4" s="5">
        <v>1</v>
      </c>
      <c r="B4" s="12">
        <v>0</v>
      </c>
      <c r="C4" s="12">
        <v>0</v>
      </c>
      <c r="D4" s="12">
        <v>0</v>
      </c>
      <c r="E4" s="12">
        <v>0</v>
      </c>
      <c r="F4" s="12">
        <v>0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3"/>
      <c r="T4" s="13"/>
      <c r="U4" s="13"/>
      <c r="V4" s="13"/>
      <c r="W4" s="13"/>
    </row>
    <row r="5" spans="1:27" ht="14.25" customHeight="1" x14ac:dyDescent="0.2">
      <c r="A5" s="5">
        <v>2</v>
      </c>
      <c r="B5" s="12">
        <v>0</v>
      </c>
      <c r="C5" s="12">
        <v>0</v>
      </c>
      <c r="D5" s="12">
        <v>0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0</v>
      </c>
      <c r="P5" s="12">
        <v>0</v>
      </c>
      <c r="Q5" s="12">
        <v>0</v>
      </c>
      <c r="R5" s="12">
        <v>0</v>
      </c>
      <c r="S5" s="13"/>
      <c r="T5" s="13"/>
      <c r="U5" s="13"/>
      <c r="V5" s="13"/>
      <c r="W5" s="13"/>
    </row>
    <row r="6" spans="1:27" ht="14.25" customHeight="1" x14ac:dyDescent="0.2">
      <c r="A6" s="5">
        <v>3</v>
      </c>
      <c r="B6" s="12">
        <v>0</v>
      </c>
      <c r="C6" s="12">
        <v>0</v>
      </c>
      <c r="D6" s="12">
        <v>0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3"/>
      <c r="T6" s="13"/>
      <c r="U6" s="13"/>
      <c r="V6" s="13"/>
      <c r="W6" s="13"/>
    </row>
    <row r="7" spans="1:27" ht="14.25" customHeight="1" x14ac:dyDescent="0.2">
      <c r="A7" s="5">
        <v>4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3"/>
      <c r="T7" s="13"/>
      <c r="U7" s="13"/>
      <c r="V7" s="13"/>
      <c r="W7" s="13"/>
    </row>
    <row r="8" spans="1:27" ht="14.25" customHeight="1" x14ac:dyDescent="0.2">
      <c r="A8" s="5">
        <v>5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3"/>
      <c r="T8" s="13"/>
      <c r="U8" s="13"/>
      <c r="V8" s="13"/>
      <c r="W8" s="13"/>
    </row>
    <row r="9" spans="1:27" ht="14.25" customHeight="1" x14ac:dyDescent="0.2">
      <c r="A9" s="5">
        <v>6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3"/>
      <c r="T9" s="13"/>
      <c r="U9" s="13"/>
      <c r="V9" s="13"/>
      <c r="W9" s="13"/>
    </row>
    <row r="10" spans="1:27" ht="14.25" customHeight="1" x14ac:dyDescent="0.2">
      <c r="A10" s="5">
        <v>7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3"/>
      <c r="T10" s="13"/>
      <c r="U10" s="13"/>
      <c r="V10" s="13"/>
      <c r="W10" s="13"/>
    </row>
    <row r="11" spans="1:27" ht="14.25" customHeight="1" x14ac:dyDescent="0.2">
      <c r="A11" s="5">
        <v>8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3"/>
      <c r="T11" s="13"/>
      <c r="U11" s="13"/>
      <c r="V11" s="13"/>
      <c r="W11" s="13"/>
    </row>
    <row r="12" spans="1:27" ht="14.25" customHeight="1" x14ac:dyDescent="0.2">
      <c r="A12" s="5">
        <v>9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3"/>
      <c r="T12" s="13"/>
      <c r="U12" s="13"/>
      <c r="V12" s="13"/>
      <c r="W12" s="13"/>
    </row>
    <row r="13" spans="1:27" ht="14.25" customHeight="1" x14ac:dyDescent="0.2">
      <c r="A13" s="5">
        <v>10</v>
      </c>
      <c r="B13" s="11">
        <v>-0.71395096039468986</v>
      </c>
      <c r="C13" s="14">
        <v>-0.58465156321212686</v>
      </c>
      <c r="D13" s="11">
        <v>-0.79903799698191769</v>
      </c>
      <c r="E13" s="14">
        <v>-0.80751763548316358</v>
      </c>
      <c r="F13" s="11">
        <v>-0.72895233112602964</v>
      </c>
      <c r="G13" s="14">
        <v>-0.85900507557847294</v>
      </c>
      <c r="H13" s="11">
        <v>-1.4331268391280088</v>
      </c>
      <c r="I13" s="11">
        <v>-1.5228833414885738</v>
      </c>
      <c r="J13" s="14">
        <v>-0.23209143327051995</v>
      </c>
      <c r="K13" s="11">
        <v>0</v>
      </c>
      <c r="L13" s="14">
        <v>-1.3431010228494791</v>
      </c>
      <c r="M13" s="11">
        <v>-1.0013656322005742</v>
      </c>
      <c r="N13" s="14">
        <v>-0.14583354692712014</v>
      </c>
      <c r="O13" s="14">
        <v>-0.37946337498358168</v>
      </c>
      <c r="P13" s="14">
        <v>-0.46259206745340115</v>
      </c>
      <c r="Q13" s="14">
        <v>-0.35647540558475682</v>
      </c>
      <c r="R13" s="14">
        <v>-0.52898967668560137</v>
      </c>
      <c r="S13" s="13"/>
      <c r="T13" s="13"/>
      <c r="U13" s="13"/>
      <c r="V13" s="13"/>
      <c r="W13" s="13"/>
    </row>
    <row r="14" spans="1:27" ht="14.25" customHeight="1" x14ac:dyDescent="0.2">
      <c r="A14" s="5">
        <v>11</v>
      </c>
      <c r="B14" s="15">
        <f>LOG10($A14)*B$13</f>
        <v>-0.74350330771671969</v>
      </c>
      <c r="C14" s="15">
        <f t="shared" ref="C14:R28" si="0">LOG10($A14)*C$13</f>
        <v>-0.60885186129543056</v>
      </c>
      <c r="D14" s="15">
        <f t="shared" si="0"/>
        <v>-0.83211232522044909</v>
      </c>
      <c r="E14" s="15">
        <f t="shared" si="0"/>
        <v>-0.84094295872843261</v>
      </c>
      <c r="F14" s="15">
        <f t="shared" si="0"/>
        <v>-0.75912562546368367</v>
      </c>
      <c r="G14" s="15">
        <f t="shared" si="0"/>
        <v>-0.89456160222121006</v>
      </c>
      <c r="H14" s="15">
        <f t="shared" si="0"/>
        <v>-1.4924478071718368</v>
      </c>
      <c r="I14" s="15">
        <f t="shared" ref="I14:J33" si="1">LOG10($A14)*I$13</f>
        <v>-1.5859195721755162</v>
      </c>
      <c r="J14" s="15">
        <f t="shared" si="1"/>
        <v>-0.24169832089580781</v>
      </c>
      <c r="K14" s="15">
        <f t="shared" si="0"/>
        <v>0</v>
      </c>
      <c r="L14" s="15">
        <f t="shared" si="0"/>
        <v>-1.3986955806239778</v>
      </c>
      <c r="M14" s="15">
        <f t="shared" si="0"/>
        <v>-1.0428148445425196</v>
      </c>
      <c r="N14" s="15">
        <f t="shared" si="0"/>
        <v>-0.15186998902058169</v>
      </c>
      <c r="O14" s="15">
        <f t="shared" si="0"/>
        <v>-0.39517038299335461</v>
      </c>
      <c r="P14" s="15">
        <f t="shared" si="0"/>
        <v>-0.48173999525819222</v>
      </c>
      <c r="Q14" s="15">
        <f t="shared" si="0"/>
        <v>-0.37123087981477726</v>
      </c>
      <c r="R14" s="15">
        <f t="shared" si="0"/>
        <v>-0.55088597982459975</v>
      </c>
    </row>
    <row r="15" spans="1:27" ht="14.25" customHeight="1" x14ac:dyDescent="0.2">
      <c r="A15" s="5">
        <v>12</v>
      </c>
      <c r="B15" s="15">
        <f t="shared" ref="B15:O78" si="2">LOG10($A15)*B$13</f>
        <v>-0.77048248705563993</v>
      </c>
      <c r="C15" s="15">
        <f t="shared" si="2"/>
        <v>-0.63094500249095475</v>
      </c>
      <c r="D15" s="15">
        <f t="shared" si="2"/>
        <v>-0.86230682122234426</v>
      </c>
      <c r="E15" s="15">
        <f t="shared" si="2"/>
        <v>-0.87145788806615221</v>
      </c>
      <c r="F15" s="15">
        <f t="shared" si="2"/>
        <v>-0.78667168501390949</v>
      </c>
      <c r="G15" s="15">
        <f t="shared" si="2"/>
        <v>-0.92702216782401059</v>
      </c>
      <c r="H15" s="15">
        <f t="shared" si="2"/>
        <v>-1.5466036079944585</v>
      </c>
      <c r="I15" s="15">
        <f t="shared" si="1"/>
        <v>-1.6434671420528097</v>
      </c>
      <c r="J15" s="15">
        <f t="shared" si="1"/>
        <v>-0.2504687221538589</v>
      </c>
      <c r="K15" s="15">
        <f t="shared" si="2"/>
        <v>0</v>
      </c>
      <c r="L15" s="15">
        <f t="shared" si="2"/>
        <v>-1.4494494354065404</v>
      </c>
      <c r="M15" s="15">
        <f t="shared" si="2"/>
        <v>-1.0806550107074833</v>
      </c>
      <c r="N15" s="15">
        <f t="shared" si="2"/>
        <v>-0.15738082888835428</v>
      </c>
      <c r="O15" s="15">
        <f t="shared" si="2"/>
        <v>-0.40950975784421878</v>
      </c>
      <c r="P15" s="15">
        <f t="shared" si="0"/>
        <v>-0.4992206837661084</v>
      </c>
      <c r="Q15" s="15">
        <f t="shared" si="0"/>
        <v>-0.38470157238429031</v>
      </c>
      <c r="R15" s="15">
        <f t="shared" si="0"/>
        <v>-0.57087573843189754</v>
      </c>
    </row>
    <row r="16" spans="1:27" ht="14.25" customHeight="1" x14ac:dyDescent="0.2">
      <c r="A16" s="5">
        <v>13</v>
      </c>
      <c r="B16" s="15">
        <f t="shared" si="2"/>
        <v>-0.79530092620474646</v>
      </c>
      <c r="C16" s="15">
        <f t="shared" si="0"/>
        <v>-0.65126872225594901</v>
      </c>
      <c r="D16" s="15">
        <f t="shared" si="0"/>
        <v>-0.89008306497857748</v>
      </c>
      <c r="E16" s="15">
        <f t="shared" si="0"/>
        <v>-0.89952890191700541</v>
      </c>
      <c r="F16" s="15">
        <f t="shared" si="0"/>
        <v>-0.81201160340641276</v>
      </c>
      <c r="G16" s="15">
        <f t="shared" si="0"/>
        <v>-0.95688299353847184</v>
      </c>
      <c r="H16" s="15">
        <f t="shared" si="0"/>
        <v>-1.5964221154591547</v>
      </c>
      <c r="I16" s="15">
        <f t="shared" si="1"/>
        <v>-1.6964057745900192</v>
      </c>
      <c r="J16" s="15">
        <f t="shared" si="1"/>
        <v>-0.25853670921906147</v>
      </c>
      <c r="K16" s="15">
        <f t="shared" si="0"/>
        <v>0</v>
      </c>
      <c r="L16" s="15">
        <f t="shared" si="0"/>
        <v>-1.49613845587969</v>
      </c>
      <c r="M16" s="15">
        <f t="shared" si="0"/>
        <v>-1.1154645892183626</v>
      </c>
      <c r="N16" s="15">
        <f t="shared" si="0"/>
        <v>-0.1624503101427926</v>
      </c>
      <c r="O16" s="15">
        <f t="shared" si="0"/>
        <v>-0.4227007040068772</v>
      </c>
      <c r="P16" s="15">
        <f t="shared" si="0"/>
        <v>-0.51530135836959201</v>
      </c>
      <c r="Q16" s="15">
        <f t="shared" si="0"/>
        <v>-0.39709340831202328</v>
      </c>
      <c r="R16" s="15">
        <f t="shared" si="0"/>
        <v>-0.58926453378286847</v>
      </c>
    </row>
    <row r="17" spans="1:18" ht="14.25" customHeight="1" x14ac:dyDescent="0.2">
      <c r="A17" s="5">
        <v>14</v>
      </c>
      <c r="B17" s="15">
        <f t="shared" si="2"/>
        <v>-0.81827921180775731</v>
      </c>
      <c r="C17" s="15">
        <f t="shared" si="0"/>
        <v>-0.67008554770052609</v>
      </c>
      <c r="D17" s="15">
        <f t="shared" si="0"/>
        <v>-0.9157998499131591</v>
      </c>
      <c r="E17" s="15">
        <f t="shared" si="0"/>
        <v>-0.92551860133185371</v>
      </c>
      <c r="F17" s="15">
        <f t="shared" si="0"/>
        <v>-0.83547270337654878</v>
      </c>
      <c r="G17" s="15">
        <f t="shared" si="0"/>
        <v>-0.98452979991039158</v>
      </c>
      <c r="H17" s="15">
        <f t="shared" si="0"/>
        <v>-1.6425468490075468</v>
      </c>
      <c r="I17" s="15">
        <f t="shared" si="1"/>
        <v>-1.7454192927474104</v>
      </c>
      <c r="J17" s="15">
        <f t="shared" si="1"/>
        <v>-0.26600649851208785</v>
      </c>
      <c r="K17" s="15">
        <f t="shared" si="0"/>
        <v>0</v>
      </c>
      <c r="L17" s="15">
        <f t="shared" si="0"/>
        <v>-1.5393657370359057</v>
      </c>
      <c r="M17" s="15">
        <f t="shared" si="0"/>
        <v>-1.1476932250297409</v>
      </c>
      <c r="N17" s="15">
        <f t="shared" si="0"/>
        <v>-0.16714391667557035</v>
      </c>
      <c r="O17" s="15">
        <f t="shared" si="0"/>
        <v>-0.43491361258176708</v>
      </c>
      <c r="P17" s="15">
        <f t="shared" si="0"/>
        <v>-0.53018973759070165</v>
      </c>
      <c r="Q17" s="15">
        <f t="shared" si="0"/>
        <v>-0.40856645637046052</v>
      </c>
      <c r="R17" s="15">
        <f t="shared" si="0"/>
        <v>-0.60628989903373454</v>
      </c>
    </row>
    <row r="18" spans="1:18" ht="14.25" customHeight="1" x14ac:dyDescent="0.2">
      <c r="A18" s="5">
        <v>15</v>
      </c>
      <c r="B18" s="15">
        <f t="shared" si="2"/>
        <v>-0.83967148391460367</v>
      </c>
      <c r="C18" s="15">
        <f t="shared" si="0"/>
        <v>-0.68760359308702257</v>
      </c>
      <c r="D18" s="15">
        <f t="shared" si="0"/>
        <v>-0.93974160390379324</v>
      </c>
      <c r="E18" s="15">
        <f t="shared" si="0"/>
        <v>-0.94971443262506061</v>
      </c>
      <c r="F18" s="15">
        <f t="shared" si="0"/>
        <v>-0.85731446490558616</v>
      </c>
      <c r="G18" s="15">
        <f t="shared" si="0"/>
        <v>-1.0102683608723069</v>
      </c>
      <c r="H18" s="15">
        <f t="shared" si="0"/>
        <v>-1.6854879486165488</v>
      </c>
      <c r="I18" s="15">
        <f t="shared" si="1"/>
        <v>-1.79104978648622</v>
      </c>
      <c r="J18" s="15">
        <f t="shared" si="1"/>
        <v>-0.27296070597116345</v>
      </c>
      <c r="K18" s="15">
        <f t="shared" si="0"/>
        <v>0</v>
      </c>
      <c r="L18" s="15">
        <f t="shared" si="0"/>
        <v>-1.5796093730020173</v>
      </c>
      <c r="M18" s="15">
        <f t="shared" si="0"/>
        <v>-1.1776973671498616</v>
      </c>
      <c r="N18" s="15">
        <f t="shared" si="0"/>
        <v>-0.17151355981807251</v>
      </c>
      <c r="O18" s="15">
        <f t="shared" si="0"/>
        <v>-0.44628355844995871</v>
      </c>
      <c r="P18" s="15">
        <f t="shared" si="0"/>
        <v>-0.54405048704044123</v>
      </c>
      <c r="Q18" s="15">
        <f t="shared" si="0"/>
        <v>-0.41924760857656129</v>
      </c>
      <c r="R18" s="15">
        <f t="shared" si="0"/>
        <v>-0.62214013488062669</v>
      </c>
    </row>
    <row r="19" spans="1:18" ht="14.25" customHeight="1" x14ac:dyDescent="0.2">
      <c r="A19" s="5">
        <v>16</v>
      </c>
      <c r="B19" s="15">
        <f t="shared" si="2"/>
        <v>-0.85968261804763479</v>
      </c>
      <c r="C19" s="15">
        <f t="shared" si="0"/>
        <v>-0.7039906301547455</v>
      </c>
      <c r="D19" s="15">
        <f t="shared" si="0"/>
        <v>-0.96213761906729156</v>
      </c>
      <c r="E19" s="15">
        <f t="shared" si="0"/>
        <v>-0.97234812123234038</v>
      </c>
      <c r="F19" s="15">
        <f t="shared" si="0"/>
        <v>-0.87774606831247071</v>
      </c>
      <c r="G19" s="15">
        <f t="shared" si="0"/>
        <v>-1.0343451767069023</v>
      </c>
      <c r="H19" s="15">
        <f t="shared" si="0"/>
        <v>-1.7256566646745581</v>
      </c>
      <c r="I19" s="15">
        <f t="shared" si="1"/>
        <v>-1.8337342627402184</v>
      </c>
      <c r="J19" s="15">
        <f t="shared" si="1"/>
        <v>-0.2794659326042872</v>
      </c>
      <c r="K19" s="15">
        <f t="shared" si="0"/>
        <v>0</v>
      </c>
      <c r="L19" s="15">
        <f t="shared" si="0"/>
        <v>-1.6172547803386697</v>
      </c>
      <c r="M19" s="15">
        <f t="shared" si="0"/>
        <v>-1.2057643676775944</v>
      </c>
      <c r="N19" s="15">
        <f t="shared" si="0"/>
        <v>-0.1756010879965359</v>
      </c>
      <c r="O19" s="15">
        <f t="shared" si="0"/>
        <v>-0.45691943250378908</v>
      </c>
      <c r="P19" s="15">
        <f t="shared" si="0"/>
        <v>-0.55701635223875778</v>
      </c>
      <c r="Q19" s="15">
        <f t="shared" si="0"/>
        <v>-0.42923915918998112</v>
      </c>
      <c r="R19" s="15">
        <f t="shared" si="0"/>
        <v>-0.63696704031582962</v>
      </c>
    </row>
    <row r="20" spans="1:18" ht="14.25" customHeight="1" x14ac:dyDescent="0.2">
      <c r="A20" s="5">
        <v>17</v>
      </c>
      <c r="B20" s="15">
        <f t="shared" si="2"/>
        <v>-0.87848018913462889</v>
      </c>
      <c r="C20" s="15">
        <f t="shared" si="0"/>
        <v>-0.71938388533648323</v>
      </c>
      <c r="D20" s="15">
        <f t="shared" si="0"/>
        <v>-0.98317544152665703</v>
      </c>
      <c r="E20" s="15">
        <f t="shared" si="0"/>
        <v>-0.9936092035741928</v>
      </c>
      <c r="F20" s="15">
        <f t="shared" si="0"/>
        <v>-0.89693860957020155</v>
      </c>
      <c r="G20" s="15">
        <f t="shared" si="0"/>
        <v>-1.0569618687039948</v>
      </c>
      <c r="H20" s="15">
        <f t="shared" si="0"/>
        <v>-1.7633893734033135</v>
      </c>
      <c r="I20" s="15">
        <f t="shared" si="1"/>
        <v>-1.8738301649195572</v>
      </c>
      <c r="J20" s="15">
        <f t="shared" si="1"/>
        <v>-0.28557665372884888</v>
      </c>
      <c r="K20" s="15">
        <f t="shared" si="0"/>
        <v>0</v>
      </c>
      <c r="L20" s="15">
        <f t="shared" si="0"/>
        <v>-1.6526172048671979</v>
      </c>
      <c r="M20" s="15">
        <f t="shared" si="0"/>
        <v>-1.2321292620464699</v>
      </c>
      <c r="N20" s="15">
        <f t="shared" si="0"/>
        <v>-0.17944073051724285</v>
      </c>
      <c r="O20" s="15">
        <f t="shared" si="0"/>
        <v>-0.46691030045110754</v>
      </c>
      <c r="P20" s="15">
        <f t="shared" si="0"/>
        <v>-0.56919591043618312</v>
      </c>
      <c r="Q20" s="15">
        <f t="shared" si="0"/>
        <v>-0.43862477829964674</v>
      </c>
      <c r="R20" s="15">
        <f t="shared" si="0"/>
        <v>-0.65089477709804</v>
      </c>
    </row>
    <row r="21" spans="1:18" ht="14.25" customHeight="1" x14ac:dyDescent="0.2">
      <c r="A21" s="5">
        <v>18</v>
      </c>
      <c r="B21" s="15">
        <f t="shared" si="2"/>
        <v>-0.89620301057555352</v>
      </c>
      <c r="C21" s="15">
        <f t="shared" si="0"/>
        <v>-0.73389703236585035</v>
      </c>
      <c r="D21" s="15">
        <f t="shared" si="0"/>
        <v>-1.0030104281442196</v>
      </c>
      <c r="E21" s="15">
        <f t="shared" si="0"/>
        <v>-1.013654685208049</v>
      </c>
      <c r="F21" s="15">
        <f t="shared" si="0"/>
        <v>-0.9150338187934659</v>
      </c>
      <c r="G21" s="15">
        <f t="shared" si="0"/>
        <v>-1.0782854531178445</v>
      </c>
      <c r="H21" s="15">
        <f t="shared" si="0"/>
        <v>-1.7989647174829981</v>
      </c>
      <c r="I21" s="15">
        <f t="shared" si="1"/>
        <v>-1.9116335870504555</v>
      </c>
      <c r="J21" s="15">
        <f t="shared" si="1"/>
        <v>-0.29133799485450235</v>
      </c>
      <c r="K21" s="15">
        <f t="shared" si="0"/>
        <v>0</v>
      </c>
      <c r="L21" s="15">
        <f t="shared" si="0"/>
        <v>-1.6859577855590782</v>
      </c>
      <c r="M21" s="15">
        <f t="shared" si="0"/>
        <v>-1.2569867456567705</v>
      </c>
      <c r="N21" s="15">
        <f t="shared" si="0"/>
        <v>-0.18306084177930662</v>
      </c>
      <c r="O21" s="15">
        <f t="shared" si="0"/>
        <v>-0.47632994131059575</v>
      </c>
      <c r="P21" s="15">
        <f t="shared" si="0"/>
        <v>-0.58067910335314832</v>
      </c>
      <c r="Q21" s="15">
        <f t="shared" si="0"/>
        <v>-0.44747377537609473</v>
      </c>
      <c r="R21" s="15">
        <f t="shared" si="0"/>
        <v>-0.66402619662692275</v>
      </c>
    </row>
    <row r="22" spans="1:18" ht="14.25" customHeight="1" x14ac:dyDescent="0.2">
      <c r="A22" s="5">
        <v>19</v>
      </c>
      <c r="B22" s="15">
        <f t="shared" si="2"/>
        <v>-0.91296736150844016</v>
      </c>
      <c r="C22" s="15">
        <f t="shared" si="0"/>
        <v>-0.74762529176020764</v>
      </c>
      <c r="D22" s="15">
        <f t="shared" si="0"/>
        <v>-1.0217727159387628</v>
      </c>
      <c r="E22" s="15">
        <f t="shared" si="0"/>
        <v>-1.0326160842070093</v>
      </c>
      <c r="F22" s="15">
        <f t="shared" si="0"/>
        <v>-0.93215041835036927</v>
      </c>
      <c r="G22" s="15">
        <f t="shared" si="0"/>
        <v>-1.0984558336327293</v>
      </c>
      <c r="H22" s="15">
        <f t="shared" si="0"/>
        <v>-1.8326161061570867</v>
      </c>
      <c r="I22" s="15">
        <f t="shared" si="1"/>
        <v>-1.9473925567595904</v>
      </c>
      <c r="J22" s="15">
        <f t="shared" si="1"/>
        <v>-0.29678775604498059</v>
      </c>
      <c r="K22" s="15">
        <f t="shared" si="0"/>
        <v>0</v>
      </c>
      <c r="L22" s="15">
        <f t="shared" si="0"/>
        <v>-1.717495269412199</v>
      </c>
      <c r="M22" s="15">
        <f t="shared" si="0"/>
        <v>-1.2804999080468902</v>
      </c>
      <c r="N22" s="15">
        <f t="shared" si="0"/>
        <v>-0.18648517327277822</v>
      </c>
      <c r="O22" s="15">
        <f t="shared" si="0"/>
        <v>-0.48524015718996866</v>
      </c>
      <c r="P22" s="15">
        <f t="shared" si="0"/>
        <v>-0.59154127202825058</v>
      </c>
      <c r="Q22" s="15">
        <f t="shared" si="0"/>
        <v>-0.45584420854262797</v>
      </c>
      <c r="R22" s="15">
        <f t="shared" si="0"/>
        <v>-0.67644745392858541</v>
      </c>
    </row>
    <row r="23" spans="1:18" ht="14.25" customHeight="1" x14ac:dyDescent="0.2">
      <c r="A23" s="5">
        <v>20</v>
      </c>
      <c r="B23" s="15">
        <f t="shared" si="2"/>
        <v>-0.92887161490659864</v>
      </c>
      <c r="C23" s="15">
        <f t="shared" si="0"/>
        <v>-0.76064922075081332</v>
      </c>
      <c r="D23" s="15">
        <f t="shared" si="0"/>
        <v>-1.0395724017487407</v>
      </c>
      <c r="E23" s="15">
        <f t="shared" si="0"/>
        <v>-1.0506046657912487</v>
      </c>
      <c r="F23" s="15">
        <f t="shared" si="0"/>
        <v>-0.94838884820414737</v>
      </c>
      <c r="G23" s="15">
        <f t="shared" si="0"/>
        <v>-1.1175913697551985</v>
      </c>
      <c r="H23" s="15">
        <f t="shared" si="0"/>
        <v>-1.8645410052966485</v>
      </c>
      <c r="I23" s="15">
        <f t="shared" si="1"/>
        <v>-1.9813169071736285</v>
      </c>
      <c r="J23" s="15">
        <f t="shared" si="1"/>
        <v>-0.30195791642159175</v>
      </c>
      <c r="K23" s="15">
        <f t="shared" si="0"/>
        <v>0</v>
      </c>
      <c r="L23" s="15">
        <f t="shared" si="0"/>
        <v>-1.7474147179341466</v>
      </c>
      <c r="M23" s="15">
        <f t="shared" si="0"/>
        <v>-1.3028067241199728</v>
      </c>
      <c r="N23" s="15">
        <f t="shared" si="0"/>
        <v>-0.18973381892625413</v>
      </c>
      <c r="O23" s="15">
        <f t="shared" si="0"/>
        <v>-0.49369323310952895</v>
      </c>
      <c r="P23" s="15">
        <f t="shared" si="0"/>
        <v>-0.60184615551309062</v>
      </c>
      <c r="Q23" s="15">
        <f t="shared" si="0"/>
        <v>-0.4637851953822521</v>
      </c>
      <c r="R23" s="15">
        <f t="shared" si="0"/>
        <v>-0.68823143676455878</v>
      </c>
    </row>
    <row r="24" spans="1:18" ht="14.25" customHeight="1" x14ac:dyDescent="0.2">
      <c r="A24" s="5">
        <v>21</v>
      </c>
      <c r="B24" s="15">
        <f t="shared" si="2"/>
        <v>-0.94399973532767123</v>
      </c>
      <c r="C24" s="15">
        <f t="shared" si="0"/>
        <v>-0.7730375775754218</v>
      </c>
      <c r="D24" s="15">
        <f t="shared" si="0"/>
        <v>-1.0565034568350347</v>
      </c>
      <c r="E24" s="15">
        <f t="shared" si="0"/>
        <v>-1.0677153984737506</v>
      </c>
      <c r="F24" s="15">
        <f t="shared" si="0"/>
        <v>-0.9638348371561053</v>
      </c>
      <c r="G24" s="15">
        <f t="shared" si="0"/>
        <v>-1.1357930852042255</v>
      </c>
      <c r="H24" s="15">
        <f t="shared" si="0"/>
        <v>-1.8949079584960868</v>
      </c>
      <c r="I24" s="15">
        <f t="shared" si="1"/>
        <v>-2.0135857377450566</v>
      </c>
      <c r="J24" s="15">
        <f t="shared" si="1"/>
        <v>-0.30687577121273141</v>
      </c>
      <c r="K24" s="15">
        <f t="shared" si="0"/>
        <v>0</v>
      </c>
      <c r="L24" s="15">
        <f t="shared" si="0"/>
        <v>-1.7758740871884438</v>
      </c>
      <c r="M24" s="15">
        <f t="shared" si="0"/>
        <v>-1.3240249599790284</v>
      </c>
      <c r="N24" s="15">
        <f t="shared" si="0"/>
        <v>-0.19282392956652272</v>
      </c>
      <c r="O24" s="15">
        <f t="shared" si="0"/>
        <v>-0.50173379604814416</v>
      </c>
      <c r="P24" s="15">
        <f t="shared" si="0"/>
        <v>-0.61164815717774168</v>
      </c>
      <c r="Q24" s="15">
        <f t="shared" si="0"/>
        <v>-0.47133865936226499</v>
      </c>
      <c r="R24" s="15">
        <f t="shared" si="0"/>
        <v>-0.69944035722875986</v>
      </c>
    </row>
    <row r="25" spans="1:18" ht="14.25" customHeight="1" x14ac:dyDescent="0.2">
      <c r="A25" s="5">
        <v>22</v>
      </c>
      <c r="B25" s="15">
        <f t="shared" si="2"/>
        <v>-0.95842396222862836</v>
      </c>
      <c r="C25" s="15">
        <f t="shared" si="0"/>
        <v>-0.78484951883411691</v>
      </c>
      <c r="D25" s="15">
        <f t="shared" si="0"/>
        <v>-1.0726467299872717</v>
      </c>
      <c r="E25" s="15">
        <f t="shared" si="0"/>
        <v>-1.0840299890365175</v>
      </c>
      <c r="F25" s="15">
        <f t="shared" si="0"/>
        <v>-0.97856214254180118</v>
      </c>
      <c r="G25" s="15">
        <f t="shared" si="0"/>
        <v>-1.1531478963979356</v>
      </c>
      <c r="H25" s="15">
        <f t="shared" si="0"/>
        <v>-1.923861973340476</v>
      </c>
      <c r="I25" s="15">
        <f t="shared" si="1"/>
        <v>-2.0443531378605706</v>
      </c>
      <c r="J25" s="15">
        <f t="shared" si="1"/>
        <v>-0.31156480404687958</v>
      </c>
      <c r="K25" s="15">
        <f t="shared" si="0"/>
        <v>0</v>
      </c>
      <c r="L25" s="15">
        <f t="shared" si="0"/>
        <v>-1.8030092757086449</v>
      </c>
      <c r="M25" s="15">
        <f t="shared" si="0"/>
        <v>-1.344255936461918</v>
      </c>
      <c r="N25" s="15">
        <f t="shared" si="0"/>
        <v>-0.19577026101971562</v>
      </c>
      <c r="O25" s="15">
        <f t="shared" si="0"/>
        <v>-0.50940024111930182</v>
      </c>
      <c r="P25" s="15">
        <f t="shared" si="0"/>
        <v>-0.62099408331788164</v>
      </c>
      <c r="Q25" s="15">
        <f t="shared" si="0"/>
        <v>-0.47854066961227248</v>
      </c>
      <c r="R25" s="15">
        <f t="shared" si="0"/>
        <v>-0.71012773990355704</v>
      </c>
    </row>
    <row r="26" spans="1:18" ht="14.25" customHeight="1" x14ac:dyDescent="0.2">
      <c r="A26" s="5">
        <v>23</v>
      </c>
      <c r="B26" s="15">
        <f t="shared" si="2"/>
        <v>-0.97220689632094315</v>
      </c>
      <c r="C26" s="15">
        <f t="shared" si="0"/>
        <v>-0.7961363079971524</v>
      </c>
      <c r="D26" s="15">
        <f t="shared" si="0"/>
        <v>-1.0880722825260187</v>
      </c>
      <c r="E26" s="15">
        <f t="shared" si="0"/>
        <v>-1.0996192423125317</v>
      </c>
      <c r="F26" s="15">
        <f t="shared" si="0"/>
        <v>-0.99263468042422809</v>
      </c>
      <c r="G26" s="15">
        <f t="shared" si="0"/>
        <v>-1.1697311226956026</v>
      </c>
      <c r="H26" s="15">
        <f t="shared" si="0"/>
        <v>-1.9515287093845162</v>
      </c>
      <c r="I26" s="15">
        <f t="shared" si="1"/>
        <v>-2.0737526371124764</v>
      </c>
      <c r="J26" s="15">
        <f t="shared" si="1"/>
        <v>-0.31604536518568671</v>
      </c>
      <c r="K26" s="15">
        <f t="shared" si="0"/>
        <v>0</v>
      </c>
      <c r="L26" s="15">
        <f t="shared" si="0"/>
        <v>-1.8289380493978367</v>
      </c>
      <c r="M26" s="15">
        <f t="shared" si="0"/>
        <v>-1.3635874553988767</v>
      </c>
      <c r="N26" s="15">
        <f t="shared" si="0"/>
        <v>-0.19858560027583738</v>
      </c>
      <c r="O26" s="15">
        <f t="shared" si="0"/>
        <v>-0.51672584046432501</v>
      </c>
      <c r="P26" s="15">
        <f t="shared" si="0"/>
        <v>-0.62992449497222425</v>
      </c>
      <c r="Q26" s="15">
        <f t="shared" si="0"/>
        <v>-0.48542248264042465</v>
      </c>
      <c r="R26" s="15">
        <f t="shared" si="0"/>
        <v>-0.72033996770872999</v>
      </c>
    </row>
    <row r="27" spans="1:18" ht="14.25" customHeight="1" x14ac:dyDescent="0.2">
      <c r="A27" s="5">
        <v>24</v>
      </c>
      <c r="B27" s="15">
        <f t="shared" si="2"/>
        <v>-0.98540314156754849</v>
      </c>
      <c r="C27" s="15">
        <f t="shared" si="0"/>
        <v>-0.8069426600296411</v>
      </c>
      <c r="D27" s="15">
        <f t="shared" si="0"/>
        <v>-1.1028412259891671</v>
      </c>
      <c r="E27" s="15">
        <f t="shared" si="0"/>
        <v>-1.1145449183742371</v>
      </c>
      <c r="F27" s="15">
        <f t="shared" si="0"/>
        <v>-1.0061082020920271</v>
      </c>
      <c r="G27" s="15">
        <f t="shared" si="0"/>
        <v>-1.1856084620007361</v>
      </c>
      <c r="H27" s="15">
        <f t="shared" si="0"/>
        <v>-1.9780177741630978</v>
      </c>
      <c r="I27" s="15">
        <f t="shared" si="1"/>
        <v>-2.101900707737864</v>
      </c>
      <c r="J27" s="15">
        <f t="shared" si="1"/>
        <v>-0.32033520530493065</v>
      </c>
      <c r="K27" s="15">
        <f t="shared" si="0"/>
        <v>0</v>
      </c>
      <c r="L27" s="15">
        <f t="shared" si="0"/>
        <v>-1.8537631304912074</v>
      </c>
      <c r="M27" s="15">
        <f t="shared" si="0"/>
        <v>-1.3820961026268817</v>
      </c>
      <c r="N27" s="15">
        <f t="shared" si="0"/>
        <v>-0.20128110088748824</v>
      </c>
      <c r="O27" s="15">
        <f t="shared" si="0"/>
        <v>-0.52373961597016605</v>
      </c>
      <c r="P27" s="15">
        <f t="shared" si="0"/>
        <v>-0.6384747718257977</v>
      </c>
      <c r="Q27" s="15">
        <f t="shared" si="0"/>
        <v>-0.49201136218178554</v>
      </c>
      <c r="R27" s="15">
        <f t="shared" si="0"/>
        <v>-0.73011749851085483</v>
      </c>
    </row>
    <row r="28" spans="1:18" ht="14.25" customHeight="1" x14ac:dyDescent="0.2">
      <c r="A28" s="5">
        <v>25</v>
      </c>
      <c r="B28" s="15">
        <f t="shared" si="2"/>
        <v>-0.99806061176556238</v>
      </c>
      <c r="C28" s="15">
        <f t="shared" si="0"/>
        <v>-0.81730781134688102</v>
      </c>
      <c r="D28" s="15">
        <f t="shared" si="0"/>
        <v>-1.1170071844301896</v>
      </c>
      <c r="E28" s="15">
        <f t="shared" si="0"/>
        <v>-1.1288612103501572</v>
      </c>
      <c r="F28" s="15">
        <f t="shared" si="0"/>
        <v>-1.019031628095824</v>
      </c>
      <c r="G28" s="15">
        <f t="shared" si="0"/>
        <v>-1.2008375628034949</v>
      </c>
      <c r="H28" s="15">
        <f t="shared" si="0"/>
        <v>-2.0034253459187386</v>
      </c>
      <c r="I28" s="15">
        <f t="shared" si="1"/>
        <v>-2.1288995516070388</v>
      </c>
      <c r="J28" s="15">
        <f t="shared" si="1"/>
        <v>-0.3244499002388963</v>
      </c>
      <c r="K28" s="15">
        <f t="shared" si="0"/>
        <v>0</v>
      </c>
      <c r="L28" s="15">
        <f t="shared" si="0"/>
        <v>-1.8775746555296235</v>
      </c>
      <c r="M28" s="15">
        <f t="shared" si="0"/>
        <v>-1.3998490805623511</v>
      </c>
      <c r="N28" s="15">
        <f t="shared" si="0"/>
        <v>-0.20386654985597236</v>
      </c>
      <c r="O28" s="15">
        <f t="shared" si="0"/>
        <v>-0.53046703371526882</v>
      </c>
      <c r="P28" s="15">
        <f t="shared" si="0"/>
        <v>-0.64667595878742345</v>
      </c>
      <c r="Q28" s="15">
        <f t="shared" si="0"/>
        <v>-0.49833123157452314</v>
      </c>
      <c r="R28" s="15">
        <f t="shared" si="0"/>
        <v>-0.73949583321328805</v>
      </c>
    </row>
    <row r="29" spans="1:18" ht="14.25" customHeight="1" x14ac:dyDescent="0.2">
      <c r="A29" s="5">
        <v>26</v>
      </c>
      <c r="B29" s="15">
        <f t="shared" si="2"/>
        <v>-1.0102215807166552</v>
      </c>
      <c r="C29" s="15">
        <f t="shared" ref="C29:R43" si="3">LOG10($A29)*C$13</f>
        <v>-0.82726637979463546</v>
      </c>
      <c r="D29" s="15">
        <f t="shared" si="3"/>
        <v>-1.1306174697454003</v>
      </c>
      <c r="E29" s="15">
        <f t="shared" si="3"/>
        <v>-1.1426159322250906</v>
      </c>
      <c r="F29" s="15">
        <f t="shared" si="3"/>
        <v>-1.0314481204845305</v>
      </c>
      <c r="G29" s="15">
        <f t="shared" si="3"/>
        <v>-1.2154692877151974</v>
      </c>
      <c r="H29" s="15">
        <f t="shared" si="3"/>
        <v>-2.0278362816277946</v>
      </c>
      <c r="I29" s="15">
        <f t="shared" si="1"/>
        <v>-2.1548393402750738</v>
      </c>
      <c r="J29" s="15">
        <f t="shared" si="1"/>
        <v>-0.32840319237013332</v>
      </c>
      <c r="K29" s="15">
        <f t="shared" si="3"/>
        <v>0</v>
      </c>
      <c r="L29" s="15">
        <f t="shared" si="3"/>
        <v>-1.9004521509643575</v>
      </c>
      <c r="M29" s="15">
        <f t="shared" si="3"/>
        <v>-1.4169056811377612</v>
      </c>
      <c r="N29" s="15">
        <f t="shared" si="3"/>
        <v>-0.20635058214192659</v>
      </c>
      <c r="O29" s="15">
        <f t="shared" si="3"/>
        <v>-0.53693056213282453</v>
      </c>
      <c r="P29" s="15">
        <f t="shared" si="3"/>
        <v>-0.65455544642928143</v>
      </c>
      <c r="Q29" s="15">
        <f t="shared" si="3"/>
        <v>-0.50440319810951861</v>
      </c>
      <c r="R29" s="15">
        <f t="shared" si="3"/>
        <v>-0.74850629386182588</v>
      </c>
    </row>
    <row r="30" spans="1:18" ht="14.25" customHeight="1" x14ac:dyDescent="0.2">
      <c r="A30" s="5">
        <v>27</v>
      </c>
      <c r="B30" s="15">
        <f t="shared" si="2"/>
        <v>-1.0219235340954673</v>
      </c>
      <c r="C30" s="15">
        <f t="shared" si="3"/>
        <v>-0.83684906224074607</v>
      </c>
      <c r="D30" s="15">
        <f t="shared" si="3"/>
        <v>-1.1437140350660953</v>
      </c>
      <c r="E30" s="15">
        <f t="shared" si="3"/>
        <v>-1.1558514823499462</v>
      </c>
      <c r="F30" s="15">
        <f t="shared" si="3"/>
        <v>-1.0433959525730223</v>
      </c>
      <c r="G30" s="15">
        <f t="shared" si="3"/>
        <v>-1.2295487384116786</v>
      </c>
      <c r="H30" s="15">
        <f t="shared" si="3"/>
        <v>-2.0513258269715382</v>
      </c>
      <c r="I30" s="15">
        <f t="shared" si="1"/>
        <v>-2.1798000320481017</v>
      </c>
      <c r="J30" s="15">
        <f t="shared" si="1"/>
        <v>-0.3322072675551459</v>
      </c>
      <c r="K30" s="15">
        <f t="shared" si="3"/>
        <v>0</v>
      </c>
      <c r="L30" s="15">
        <f t="shared" si="3"/>
        <v>-1.9224661357116164</v>
      </c>
      <c r="M30" s="15">
        <f t="shared" si="3"/>
        <v>-1.4333184806060579</v>
      </c>
      <c r="N30" s="15">
        <f t="shared" si="3"/>
        <v>-0.20874085467025902</v>
      </c>
      <c r="O30" s="15">
        <f t="shared" si="3"/>
        <v>-0.54315012477697278</v>
      </c>
      <c r="P30" s="15">
        <f t="shared" si="3"/>
        <v>-0.66213752294018846</v>
      </c>
      <c r="Q30" s="15">
        <f t="shared" si="3"/>
        <v>-0.5102459783678992</v>
      </c>
      <c r="R30" s="15">
        <f t="shared" si="3"/>
        <v>-0.75717665482194807</v>
      </c>
    </row>
    <row r="31" spans="1:18" ht="14.25" customHeight="1" x14ac:dyDescent="0.2">
      <c r="A31" s="5">
        <v>28</v>
      </c>
      <c r="B31" s="15">
        <f t="shared" si="2"/>
        <v>-1.033199866319666</v>
      </c>
      <c r="C31" s="15">
        <f t="shared" si="3"/>
        <v>-0.84608320523921254</v>
      </c>
      <c r="D31" s="15">
        <f t="shared" si="3"/>
        <v>-1.1563342546799822</v>
      </c>
      <c r="E31" s="15">
        <f t="shared" si="3"/>
        <v>-1.1686056316399387</v>
      </c>
      <c r="F31" s="15">
        <f t="shared" si="3"/>
        <v>-1.0549092204546666</v>
      </c>
      <c r="G31" s="15">
        <f t="shared" si="3"/>
        <v>-1.2431160940871171</v>
      </c>
      <c r="H31" s="15">
        <f t="shared" si="3"/>
        <v>-2.0739610151761863</v>
      </c>
      <c r="I31" s="15">
        <f t="shared" si="1"/>
        <v>-2.203852858432465</v>
      </c>
      <c r="J31" s="15">
        <f t="shared" si="1"/>
        <v>-0.33587298166315971</v>
      </c>
      <c r="K31" s="15">
        <f t="shared" si="3"/>
        <v>0</v>
      </c>
      <c r="L31" s="15">
        <f t="shared" si="3"/>
        <v>-1.943679432120573</v>
      </c>
      <c r="M31" s="15">
        <f t="shared" si="3"/>
        <v>-1.4491343169491397</v>
      </c>
      <c r="N31" s="15">
        <f t="shared" si="3"/>
        <v>-0.21104418867470431</v>
      </c>
      <c r="O31" s="15">
        <f t="shared" si="3"/>
        <v>-0.54914347070771441</v>
      </c>
      <c r="P31" s="15">
        <f t="shared" si="3"/>
        <v>-0.66944382565039107</v>
      </c>
      <c r="Q31" s="15">
        <f t="shared" si="3"/>
        <v>-0.5158762461679558</v>
      </c>
      <c r="R31" s="15">
        <f t="shared" si="3"/>
        <v>-0.76553165911269194</v>
      </c>
    </row>
    <row r="32" spans="1:18" ht="14.25" customHeight="1" x14ac:dyDescent="0.2">
      <c r="A32" s="5">
        <v>29</v>
      </c>
      <c r="B32" s="15">
        <f t="shared" si="2"/>
        <v>-1.0440804550792313</v>
      </c>
      <c r="C32" s="15">
        <f t="shared" si="3"/>
        <v>-0.85499327550990933</v>
      </c>
      <c r="D32" s="15">
        <f t="shared" si="3"/>
        <v>-1.1685115670315485</v>
      </c>
      <c r="E32" s="15">
        <f t="shared" si="3"/>
        <v>-1.1809121733986774</v>
      </c>
      <c r="F32" s="15">
        <f t="shared" si="3"/>
        <v>-1.0660184296024826</v>
      </c>
      <c r="G32" s="15">
        <f t="shared" si="3"/>
        <v>-1.2562073027110003</v>
      </c>
      <c r="H32" s="15">
        <f t="shared" si="3"/>
        <v>-2.0958018202760593</v>
      </c>
      <c r="I32" s="15">
        <f t="shared" si="1"/>
        <v>-2.2270615496265624</v>
      </c>
      <c r="J32" s="15">
        <f t="shared" si="1"/>
        <v>-0.33941004734430752</v>
      </c>
      <c r="K32" s="15">
        <f t="shared" si="3"/>
        <v>0</v>
      </c>
      <c r="L32" s="15">
        <f t="shared" si="3"/>
        <v>-1.9641482467911182</v>
      </c>
      <c r="M32" s="15">
        <f t="shared" si="3"/>
        <v>-1.4643950956949421</v>
      </c>
      <c r="N32" s="15">
        <f t="shared" si="3"/>
        <v>-0.21326668705272395</v>
      </c>
      <c r="O32" s="15">
        <f t="shared" si="3"/>
        <v>-0.55492647985197063</v>
      </c>
      <c r="P32" s="15">
        <f t="shared" si="3"/>
        <v>-0.67649371328779273</v>
      </c>
      <c r="Q32" s="15">
        <f t="shared" si="3"/>
        <v>-0.52130891942736668</v>
      </c>
      <c r="R32" s="15">
        <f t="shared" si="3"/>
        <v>-0.77359344409423958</v>
      </c>
    </row>
    <row r="33" spans="1:18" ht="14.25" customHeight="1" x14ac:dyDescent="0.2">
      <c r="A33" s="5">
        <v>30</v>
      </c>
      <c r="B33" s="15">
        <f t="shared" si="2"/>
        <v>-1.0545921384265122</v>
      </c>
      <c r="C33" s="15">
        <f t="shared" si="3"/>
        <v>-0.86360125062570881</v>
      </c>
      <c r="D33" s="15">
        <f t="shared" si="3"/>
        <v>-1.1802760086706161</v>
      </c>
      <c r="E33" s="15">
        <f t="shared" si="3"/>
        <v>-1.1928014629331456</v>
      </c>
      <c r="F33" s="15">
        <f t="shared" si="3"/>
        <v>-1.0767509819837038</v>
      </c>
      <c r="G33" s="15">
        <f t="shared" si="3"/>
        <v>-1.2688546550490323</v>
      </c>
      <c r="H33" s="15">
        <f t="shared" si="3"/>
        <v>-2.1169021147851881</v>
      </c>
      <c r="I33" s="15">
        <f t="shared" si="1"/>
        <v>-2.2494833521712745</v>
      </c>
      <c r="J33" s="15">
        <f t="shared" si="1"/>
        <v>-0.34282718912223525</v>
      </c>
      <c r="K33" s="15">
        <f t="shared" si="3"/>
        <v>0</v>
      </c>
      <c r="L33" s="15">
        <f t="shared" si="3"/>
        <v>-1.9839230680866844</v>
      </c>
      <c r="M33" s="15">
        <f t="shared" si="3"/>
        <v>-1.47913845906926</v>
      </c>
      <c r="N33" s="15">
        <f t="shared" si="3"/>
        <v>-0.21541383181720647</v>
      </c>
      <c r="O33" s="15">
        <f t="shared" si="3"/>
        <v>-0.56051341657590592</v>
      </c>
      <c r="P33" s="15">
        <f t="shared" si="3"/>
        <v>-0.68330457510013054</v>
      </c>
      <c r="Q33" s="15">
        <f t="shared" si="3"/>
        <v>-0.52655739837405657</v>
      </c>
      <c r="R33" s="15">
        <f t="shared" si="3"/>
        <v>-0.78138189495958399</v>
      </c>
    </row>
    <row r="34" spans="1:18" ht="14.25" customHeight="1" x14ac:dyDescent="0.2">
      <c r="A34" s="5">
        <v>31</v>
      </c>
      <c r="B34" s="15">
        <f t="shared" si="2"/>
        <v>-1.0647591136088304</v>
      </c>
      <c r="C34" s="15">
        <f t="shared" si="3"/>
        <v>-0.87192694561489281</v>
      </c>
      <c r="D34" s="15">
        <f t="shared" si="3"/>
        <v>-1.1916546606168972</v>
      </c>
      <c r="E34" s="15">
        <f t="shared" si="3"/>
        <v>-1.2043008686552177</v>
      </c>
      <c r="F34" s="15">
        <f t="shared" si="3"/>
        <v>-1.0871315832725572</v>
      </c>
      <c r="G34" s="15">
        <f t="shared" si="3"/>
        <v>-1.2810872645269489</v>
      </c>
      <c r="H34" s="15">
        <f t="shared" si="3"/>
        <v>-2.1373104702813044</v>
      </c>
      <c r="I34" s="15">
        <f t="shared" si="3"/>
        <v>-2.2711698796743964</v>
      </c>
      <c r="J34" s="15">
        <f t="shared" si="3"/>
        <v>-0.34613227304674671</v>
      </c>
      <c r="K34" s="15">
        <f t="shared" si="3"/>
        <v>0</v>
      </c>
      <c r="L34" s="15">
        <f t="shared" si="3"/>
        <v>-2.0030494164273431</v>
      </c>
      <c r="M34" s="15">
        <f t="shared" si="3"/>
        <v>-1.4933983453860755</v>
      </c>
      <c r="N34" s="15">
        <f t="shared" si="3"/>
        <v>-0.21749056556308977</v>
      </c>
      <c r="O34" s="15">
        <f t="shared" si="3"/>
        <v>-0.56591714166358409</v>
      </c>
      <c r="P34" s="15">
        <f t="shared" si="3"/>
        <v>-0.68989208927160239</v>
      </c>
      <c r="Q34" s="15">
        <f t="shared" si="3"/>
        <v>-0.53163376468314227</v>
      </c>
      <c r="R34" s="15">
        <f t="shared" si="3"/>
        <v>-0.78891494024268272</v>
      </c>
    </row>
    <row r="35" spans="1:18" ht="14.25" customHeight="1" x14ac:dyDescent="0.2">
      <c r="A35" s="5">
        <v>32</v>
      </c>
      <c r="B35" s="15">
        <f t="shared" si="2"/>
        <v>-1.0746032725595436</v>
      </c>
      <c r="C35" s="15">
        <f t="shared" si="3"/>
        <v>-0.87998828769343196</v>
      </c>
      <c r="D35" s="15">
        <f t="shared" si="3"/>
        <v>-1.2026720238341146</v>
      </c>
      <c r="E35" s="15">
        <f t="shared" si="3"/>
        <v>-1.2154351515404254</v>
      </c>
      <c r="F35" s="15">
        <f t="shared" si="3"/>
        <v>-1.0971825853905885</v>
      </c>
      <c r="G35" s="15">
        <f t="shared" si="3"/>
        <v>-1.2929314708836277</v>
      </c>
      <c r="H35" s="15">
        <f t="shared" si="3"/>
        <v>-2.1570708308431978</v>
      </c>
      <c r="I35" s="15">
        <f t="shared" si="3"/>
        <v>-2.2921678284252729</v>
      </c>
      <c r="J35" s="15">
        <f t="shared" si="3"/>
        <v>-0.349332415755359</v>
      </c>
      <c r="K35" s="15">
        <f t="shared" si="3"/>
        <v>0</v>
      </c>
      <c r="L35" s="15">
        <f t="shared" si="3"/>
        <v>-2.021568475423337</v>
      </c>
      <c r="M35" s="15">
        <f t="shared" si="3"/>
        <v>-1.5072054595969933</v>
      </c>
      <c r="N35" s="15">
        <f t="shared" si="3"/>
        <v>-0.21950135999566989</v>
      </c>
      <c r="O35" s="15">
        <f t="shared" si="3"/>
        <v>-0.57114929062973629</v>
      </c>
      <c r="P35" s="15">
        <f t="shared" si="3"/>
        <v>-0.6962704402984472</v>
      </c>
      <c r="Q35" s="15">
        <f t="shared" si="3"/>
        <v>-0.5365489489874764</v>
      </c>
      <c r="R35" s="15">
        <f t="shared" si="3"/>
        <v>-0.79620880039478703</v>
      </c>
    </row>
    <row r="36" spans="1:18" ht="14.25" customHeight="1" x14ac:dyDescent="0.2">
      <c r="A36" s="5">
        <v>33</v>
      </c>
      <c r="B36" s="15">
        <f t="shared" si="2"/>
        <v>-1.0841444857485421</v>
      </c>
      <c r="C36" s="15">
        <f t="shared" si="3"/>
        <v>-0.88780154870901251</v>
      </c>
      <c r="D36" s="15">
        <f t="shared" si="3"/>
        <v>-1.2133503369091474</v>
      </c>
      <c r="E36" s="15">
        <f t="shared" si="3"/>
        <v>-1.2262267861784146</v>
      </c>
      <c r="F36" s="15">
        <f t="shared" si="3"/>
        <v>-1.1069242763213578</v>
      </c>
      <c r="G36" s="15">
        <f t="shared" si="3"/>
        <v>-1.3044111816917694</v>
      </c>
      <c r="H36" s="15">
        <f t="shared" si="3"/>
        <v>-2.1762230828290159</v>
      </c>
      <c r="I36" s="15">
        <f t="shared" si="3"/>
        <v>-2.3125195828582168</v>
      </c>
      <c r="J36" s="15">
        <f t="shared" si="3"/>
        <v>-0.35243407674752308</v>
      </c>
      <c r="K36" s="15">
        <f t="shared" si="3"/>
        <v>0</v>
      </c>
      <c r="L36" s="15">
        <f t="shared" si="3"/>
        <v>-2.0395176258611829</v>
      </c>
      <c r="M36" s="15">
        <f t="shared" si="3"/>
        <v>-1.5205876714112054</v>
      </c>
      <c r="N36" s="15">
        <f t="shared" si="3"/>
        <v>-0.22145027391066799</v>
      </c>
      <c r="O36" s="15">
        <f t="shared" si="3"/>
        <v>-0.57622042458567879</v>
      </c>
      <c r="P36" s="15">
        <f t="shared" si="3"/>
        <v>-0.70245250290492167</v>
      </c>
      <c r="Q36" s="15">
        <f t="shared" si="3"/>
        <v>-0.54131287260407701</v>
      </c>
      <c r="R36" s="15">
        <f t="shared" si="3"/>
        <v>-0.80327819809858247</v>
      </c>
    </row>
    <row r="37" spans="1:18" ht="14.25" customHeight="1" x14ac:dyDescent="0.2">
      <c r="A37" s="5">
        <v>34</v>
      </c>
      <c r="B37" s="15">
        <f t="shared" si="2"/>
        <v>-1.0934008436465377</v>
      </c>
      <c r="C37" s="15">
        <f t="shared" si="3"/>
        <v>-0.89538154287516958</v>
      </c>
      <c r="D37" s="15">
        <f t="shared" si="3"/>
        <v>-1.2237098462934801</v>
      </c>
      <c r="E37" s="15">
        <f t="shared" si="3"/>
        <v>-1.2366962338822778</v>
      </c>
      <c r="F37" s="15">
        <f t="shared" si="3"/>
        <v>-1.1163751266483193</v>
      </c>
      <c r="G37" s="15">
        <f t="shared" si="3"/>
        <v>-1.3155481628807202</v>
      </c>
      <c r="H37" s="15">
        <f t="shared" si="3"/>
        <v>-2.1948035395719532</v>
      </c>
      <c r="I37" s="15">
        <f t="shared" si="3"/>
        <v>-2.3322637306046117</v>
      </c>
      <c r="J37" s="15">
        <f t="shared" si="3"/>
        <v>-0.35544313687992074</v>
      </c>
      <c r="K37" s="15">
        <f t="shared" si="3"/>
        <v>0</v>
      </c>
      <c r="L37" s="15">
        <f t="shared" si="3"/>
        <v>-2.0569308999518654</v>
      </c>
      <c r="M37" s="15">
        <f t="shared" si="3"/>
        <v>-1.5335703539658685</v>
      </c>
      <c r="N37" s="15">
        <f t="shared" si="3"/>
        <v>-0.22334100251637684</v>
      </c>
      <c r="O37" s="15">
        <f t="shared" si="3"/>
        <v>-0.58114015857705481</v>
      </c>
      <c r="P37" s="15">
        <f t="shared" si="3"/>
        <v>-0.70844999849587265</v>
      </c>
      <c r="Q37" s="15">
        <f t="shared" si="3"/>
        <v>-0.54593456809714203</v>
      </c>
      <c r="R37" s="15">
        <f t="shared" si="3"/>
        <v>-0.81013653717699752</v>
      </c>
    </row>
    <row r="38" spans="1:18" ht="14.25" customHeight="1" x14ac:dyDescent="0.2">
      <c r="A38" s="5">
        <v>35</v>
      </c>
      <c r="B38" s="15">
        <f t="shared" si="2"/>
        <v>-1.1023888631786298</v>
      </c>
      <c r="C38" s="15">
        <f t="shared" si="3"/>
        <v>-0.90274179583528025</v>
      </c>
      <c r="D38" s="15">
        <f t="shared" si="3"/>
        <v>-1.2337690373614312</v>
      </c>
      <c r="E38" s="15">
        <f t="shared" si="3"/>
        <v>-1.2468621761988472</v>
      </c>
      <c r="F38" s="15">
        <f t="shared" si="3"/>
        <v>-1.1255520003463431</v>
      </c>
      <c r="G38" s="15">
        <f t="shared" si="3"/>
        <v>-1.3263622871354135</v>
      </c>
      <c r="H38" s="15">
        <f t="shared" si="3"/>
        <v>-2.2128453557982768</v>
      </c>
      <c r="I38" s="15">
        <f t="shared" si="3"/>
        <v>-2.3514355028658751</v>
      </c>
      <c r="J38" s="15">
        <f t="shared" si="3"/>
        <v>-0.35836496548046426</v>
      </c>
      <c r="K38" s="15">
        <f t="shared" si="3"/>
        <v>0</v>
      </c>
      <c r="L38" s="15">
        <f t="shared" si="3"/>
        <v>-2.0738393697160502</v>
      </c>
      <c r="M38" s="15">
        <f t="shared" si="3"/>
        <v>-1.5461766733915181</v>
      </c>
      <c r="N38" s="15">
        <f t="shared" si="3"/>
        <v>-0.22517691960442254</v>
      </c>
      <c r="O38" s="15">
        <f t="shared" si="3"/>
        <v>-0.58591727131345428</v>
      </c>
      <c r="P38" s="15">
        <f t="shared" si="3"/>
        <v>-0.7142736289247239</v>
      </c>
      <c r="Q38" s="15">
        <f t="shared" si="3"/>
        <v>-0.55042228236022683</v>
      </c>
      <c r="R38" s="15">
        <f t="shared" si="3"/>
        <v>-0.8167960555614211</v>
      </c>
    </row>
    <row r="39" spans="1:18" ht="14.25" customHeight="1" x14ac:dyDescent="0.2">
      <c r="A39" s="5">
        <v>36</v>
      </c>
      <c r="B39" s="15">
        <f t="shared" si="2"/>
        <v>-1.1111236650874623</v>
      </c>
      <c r="C39" s="15">
        <f t="shared" si="3"/>
        <v>-0.90989468990453681</v>
      </c>
      <c r="D39" s="15">
        <f t="shared" si="3"/>
        <v>-1.2435448329110426</v>
      </c>
      <c r="E39" s="15">
        <f t="shared" si="3"/>
        <v>-1.2567417155161342</v>
      </c>
      <c r="F39" s="15">
        <f t="shared" si="3"/>
        <v>-1.1344703358715835</v>
      </c>
      <c r="G39" s="15">
        <f t="shared" si="3"/>
        <v>-1.3368717472945701</v>
      </c>
      <c r="H39" s="15">
        <f t="shared" si="3"/>
        <v>-2.2303788836516376</v>
      </c>
      <c r="I39" s="15">
        <f t="shared" si="3"/>
        <v>-2.3700671527355102</v>
      </c>
      <c r="J39" s="15">
        <f t="shared" si="3"/>
        <v>-0.3612044780055742</v>
      </c>
      <c r="K39" s="15">
        <f t="shared" si="3"/>
        <v>0</v>
      </c>
      <c r="L39" s="15">
        <f t="shared" si="3"/>
        <v>-2.0902714806437457</v>
      </c>
      <c r="M39" s="15">
        <f t="shared" si="3"/>
        <v>-1.5584278375761691</v>
      </c>
      <c r="N39" s="15">
        <f t="shared" si="3"/>
        <v>-0.22696111377844061</v>
      </c>
      <c r="O39" s="15">
        <f t="shared" si="3"/>
        <v>-0.59055979943654302</v>
      </c>
      <c r="P39" s="15">
        <f t="shared" si="3"/>
        <v>-0.71993319141283785</v>
      </c>
      <c r="Q39" s="15">
        <f t="shared" si="3"/>
        <v>-0.55478356517359007</v>
      </c>
      <c r="R39" s="15">
        <f t="shared" si="3"/>
        <v>-0.82326795670588016</v>
      </c>
    </row>
    <row r="40" spans="1:18" ht="14.25" customHeight="1" x14ac:dyDescent="0.2">
      <c r="A40" s="5">
        <v>37</v>
      </c>
      <c r="B40" s="15">
        <f t="shared" si="2"/>
        <v>-1.1196191269902396</v>
      </c>
      <c r="C40" s="15">
        <f t="shared" si="3"/>
        <v>-0.91685158940772105</v>
      </c>
      <c r="D40" s="15">
        <f t="shared" si="3"/>
        <v>-1.2530527644620817</v>
      </c>
      <c r="E40" s="15">
        <f t="shared" si="3"/>
        <v>-1.2663505481792003</v>
      </c>
      <c r="F40" s="15">
        <f t="shared" si="3"/>
        <v>-1.1431443024344947</v>
      </c>
      <c r="G40" s="15">
        <f t="shared" si="3"/>
        <v>-1.3470932405044607</v>
      </c>
      <c r="H40" s="15">
        <f t="shared" si="3"/>
        <v>-2.2474319799272262</v>
      </c>
      <c r="I40" s="15">
        <f t="shared" si="3"/>
        <v>-2.388188281675288</v>
      </c>
      <c r="J40" s="15">
        <f t="shared" si="3"/>
        <v>-0.36396618579600931</v>
      </c>
      <c r="K40" s="15">
        <f t="shared" si="3"/>
        <v>0</v>
      </c>
      <c r="L40" s="15">
        <f t="shared" si="3"/>
        <v>-2.1062533396286973</v>
      </c>
      <c r="M40" s="15">
        <f t="shared" si="3"/>
        <v>-1.5703433108383769</v>
      </c>
      <c r="N40" s="15">
        <f t="shared" si="3"/>
        <v>-0.22869641971791482</v>
      </c>
      <c r="O40" s="15">
        <f t="shared" si="3"/>
        <v>-0.59507511886953346</v>
      </c>
      <c r="P40" s="15">
        <f t="shared" si="3"/>
        <v>-0.72543767772013934</v>
      </c>
      <c r="Q40" s="15">
        <f t="shared" si="3"/>
        <v>-0.55902534562549699</v>
      </c>
      <c r="R40" s="15">
        <f t="shared" si="3"/>
        <v>-0.82956252299200228</v>
      </c>
    </row>
    <row r="41" spans="1:18" ht="14.25" customHeight="1" x14ac:dyDescent="0.2">
      <c r="A41" s="5">
        <v>38</v>
      </c>
      <c r="B41" s="15">
        <f t="shared" si="2"/>
        <v>-1.1278880160203488</v>
      </c>
      <c r="C41" s="15">
        <f t="shared" si="3"/>
        <v>-0.9236229492988941</v>
      </c>
      <c r="D41" s="15">
        <f t="shared" si="3"/>
        <v>-1.2623071207055858</v>
      </c>
      <c r="E41" s="15">
        <f t="shared" si="3"/>
        <v>-1.2757031145150943</v>
      </c>
      <c r="F41" s="15">
        <f t="shared" si="3"/>
        <v>-1.1515869354284871</v>
      </c>
      <c r="G41" s="15">
        <f t="shared" si="3"/>
        <v>-1.3570421278094549</v>
      </c>
      <c r="H41" s="15">
        <f t="shared" si="3"/>
        <v>-2.2640302723257264</v>
      </c>
      <c r="I41" s="15">
        <f t="shared" si="3"/>
        <v>-2.4058261224446449</v>
      </c>
      <c r="J41" s="15">
        <f t="shared" si="3"/>
        <v>-0.36665423919605239</v>
      </c>
      <c r="K41" s="15">
        <f t="shared" si="3"/>
        <v>0</v>
      </c>
      <c r="L41" s="15">
        <f t="shared" si="3"/>
        <v>-2.1218089644968665</v>
      </c>
      <c r="M41" s="15">
        <f t="shared" si="3"/>
        <v>-1.581940999966289</v>
      </c>
      <c r="N41" s="15">
        <f t="shared" si="3"/>
        <v>-0.23038544527191221</v>
      </c>
      <c r="O41" s="15">
        <f t="shared" si="3"/>
        <v>-0.59947001531591593</v>
      </c>
      <c r="P41" s="15">
        <f t="shared" si="3"/>
        <v>-0.7307953600879401</v>
      </c>
      <c r="Q41" s="15">
        <f t="shared" si="3"/>
        <v>-0.56315399834012325</v>
      </c>
      <c r="R41" s="15">
        <f t="shared" si="3"/>
        <v>-0.83568921400754292</v>
      </c>
    </row>
    <row r="42" spans="1:18" ht="14.25" customHeight="1" x14ac:dyDescent="0.2">
      <c r="A42" s="5">
        <v>39</v>
      </c>
      <c r="B42" s="15">
        <f t="shared" si="2"/>
        <v>-1.1359421042365689</v>
      </c>
      <c r="C42" s="15">
        <f t="shared" si="3"/>
        <v>-0.93021840966953107</v>
      </c>
      <c r="D42" s="15">
        <f t="shared" si="3"/>
        <v>-1.2713210766672758</v>
      </c>
      <c r="E42" s="15">
        <f t="shared" si="3"/>
        <v>-1.2848127293669873</v>
      </c>
      <c r="F42" s="15">
        <f t="shared" si="3"/>
        <v>-1.1598102542640869</v>
      </c>
      <c r="G42" s="15">
        <f t="shared" si="3"/>
        <v>-1.3667325730090312</v>
      </c>
      <c r="H42" s="15">
        <f t="shared" si="3"/>
        <v>-2.2801973911163342</v>
      </c>
      <c r="I42" s="15">
        <f t="shared" si="3"/>
        <v>-2.4230057852727196</v>
      </c>
      <c r="J42" s="15">
        <f t="shared" si="3"/>
        <v>-0.36927246507077677</v>
      </c>
      <c r="K42" s="15">
        <f t="shared" si="3"/>
        <v>0</v>
      </c>
      <c r="L42" s="15">
        <f t="shared" si="3"/>
        <v>-2.1369605011168953</v>
      </c>
      <c r="M42" s="15">
        <f t="shared" si="3"/>
        <v>-1.5932374160870484</v>
      </c>
      <c r="N42" s="15">
        <f t="shared" si="3"/>
        <v>-0.23203059503287893</v>
      </c>
      <c r="O42" s="15">
        <f t="shared" si="3"/>
        <v>-0.6037507455992015</v>
      </c>
      <c r="P42" s="15">
        <f t="shared" si="3"/>
        <v>-0.73601386601632146</v>
      </c>
      <c r="Q42" s="15">
        <f t="shared" si="3"/>
        <v>-0.56717540110132303</v>
      </c>
      <c r="R42" s="15">
        <f t="shared" si="3"/>
        <v>-0.8416567520568512</v>
      </c>
    </row>
    <row r="43" spans="1:18" ht="14.25" customHeight="1" x14ac:dyDescent="0.2">
      <c r="A43" s="5">
        <v>40</v>
      </c>
      <c r="B43" s="15">
        <f t="shared" si="2"/>
        <v>-1.1437922694185072</v>
      </c>
      <c r="C43" s="15">
        <f t="shared" si="3"/>
        <v>-0.93664687828949955</v>
      </c>
      <c r="D43" s="15">
        <f t="shared" si="3"/>
        <v>-1.2801068065155634</v>
      </c>
      <c r="E43" s="15">
        <f t="shared" si="3"/>
        <v>-1.2936916960993337</v>
      </c>
      <c r="F43" s="15">
        <f t="shared" ref="C43:R57" si="4">LOG10($A43)*F$13</f>
        <v>-1.167825365282265</v>
      </c>
      <c r="G43" s="15">
        <f t="shared" si="4"/>
        <v>-1.3761776639319239</v>
      </c>
      <c r="H43" s="15">
        <f t="shared" si="4"/>
        <v>-2.2959551714652875</v>
      </c>
      <c r="I43" s="15">
        <f t="shared" si="3"/>
        <v>-2.439750472858683</v>
      </c>
      <c r="J43" s="15">
        <f t="shared" si="3"/>
        <v>-0.37182439957266356</v>
      </c>
      <c r="K43" s="15">
        <f t="shared" si="4"/>
        <v>0</v>
      </c>
      <c r="L43" s="15">
        <f t="shared" si="4"/>
        <v>-2.1517284130188137</v>
      </c>
      <c r="M43" s="15">
        <f t="shared" si="4"/>
        <v>-1.6042478160393714</v>
      </c>
      <c r="N43" s="15">
        <f t="shared" si="4"/>
        <v>-0.23363409092538806</v>
      </c>
      <c r="O43" s="15">
        <f t="shared" si="4"/>
        <v>-0.60792309123547617</v>
      </c>
      <c r="P43" s="15">
        <f t="shared" si="4"/>
        <v>-0.74110024357278004</v>
      </c>
      <c r="Q43" s="15">
        <f t="shared" si="4"/>
        <v>-0.57109498517974733</v>
      </c>
      <c r="R43" s="15">
        <f t="shared" si="4"/>
        <v>-0.84747319684351607</v>
      </c>
    </row>
    <row r="44" spans="1:18" ht="14.25" customHeight="1" x14ac:dyDescent="0.2">
      <c r="A44" s="5">
        <v>41</v>
      </c>
      <c r="B44" s="15">
        <f t="shared" si="2"/>
        <v>-1.1514485834141071</v>
      </c>
      <c r="C44" s="15">
        <f t="shared" si="4"/>
        <v>-0.9429166029544761</v>
      </c>
      <c r="D44" s="15">
        <f t="shared" si="4"/>
        <v>-1.2886755824381095</v>
      </c>
      <c r="E44" s="15">
        <f t="shared" si="4"/>
        <v>-1.302351406523738</v>
      </c>
      <c r="F44" s="15">
        <f t="shared" si="4"/>
        <v>-1.1756425519582798</v>
      </c>
      <c r="G44" s="15">
        <f t="shared" si="4"/>
        <v>-1.3853895187332774</v>
      </c>
      <c r="H44" s="15">
        <f t="shared" si="4"/>
        <v>-2.3113238307774338</v>
      </c>
      <c r="I44" s="15">
        <f t="shared" si="4"/>
        <v>-2.4560816688201799</v>
      </c>
      <c r="J44" s="15">
        <f t="shared" si="4"/>
        <v>-0.37431331686164032</v>
      </c>
      <c r="K44" s="15">
        <f t="shared" si="4"/>
        <v>0</v>
      </c>
      <c r="L44" s="15">
        <f t="shared" si="4"/>
        <v>-2.1661316475954044</v>
      </c>
      <c r="M44" s="15">
        <f t="shared" si="4"/>
        <v>-1.6149863262870381</v>
      </c>
      <c r="N44" s="15">
        <f t="shared" si="4"/>
        <v>-0.23519799025223934</v>
      </c>
      <c r="O44" s="15">
        <f t="shared" si="4"/>
        <v>-0.61199240538990807</v>
      </c>
      <c r="P44" s="15">
        <f t="shared" si="4"/>
        <v>-0.74606101863545227</v>
      </c>
      <c r="Q44" s="15">
        <f t="shared" si="4"/>
        <v>-0.574917779444716</v>
      </c>
      <c r="R44" s="15">
        <f t="shared" si="4"/>
        <v>-0.85314601092993014</v>
      </c>
    </row>
    <row r="45" spans="1:18" ht="14.25" customHeight="1" x14ac:dyDescent="0.2">
      <c r="A45" s="5">
        <v>42</v>
      </c>
      <c r="B45" s="15">
        <f t="shared" si="2"/>
        <v>-1.1589203898395799</v>
      </c>
      <c r="C45" s="15">
        <f t="shared" si="4"/>
        <v>-0.94903523511410826</v>
      </c>
      <c r="D45" s="15">
        <f t="shared" si="4"/>
        <v>-1.2970378616018576</v>
      </c>
      <c r="E45" s="15">
        <f t="shared" si="4"/>
        <v>-1.3108024287818358</v>
      </c>
      <c r="F45" s="15">
        <f t="shared" si="4"/>
        <v>-1.183271354234223</v>
      </c>
      <c r="G45" s="15">
        <f t="shared" si="4"/>
        <v>-1.3943793793809511</v>
      </c>
      <c r="H45" s="15">
        <f t="shared" si="4"/>
        <v>-2.3263221246647263</v>
      </c>
      <c r="I45" s="15">
        <f t="shared" si="4"/>
        <v>-2.4720193034301112</v>
      </c>
      <c r="J45" s="15">
        <f t="shared" si="4"/>
        <v>-0.37674225436380321</v>
      </c>
      <c r="K45" s="15">
        <f t="shared" si="4"/>
        <v>0</v>
      </c>
      <c r="L45" s="15">
        <f t="shared" si="4"/>
        <v>-2.1801877822731113</v>
      </c>
      <c r="M45" s="15">
        <f t="shared" si="4"/>
        <v>-1.6254660518984272</v>
      </c>
      <c r="N45" s="15">
        <f t="shared" si="4"/>
        <v>-0.23672420156565668</v>
      </c>
      <c r="O45" s="15">
        <f t="shared" si="4"/>
        <v>-0.61596365417409138</v>
      </c>
      <c r="P45" s="15">
        <f t="shared" si="4"/>
        <v>-0.75090224523743121</v>
      </c>
      <c r="Q45" s="15">
        <f t="shared" si="4"/>
        <v>-0.57864844915976033</v>
      </c>
      <c r="R45" s="15">
        <f t="shared" si="4"/>
        <v>-0.85868211730771726</v>
      </c>
    </row>
    <row r="46" spans="1:18" ht="14.25" customHeight="1" x14ac:dyDescent="0.2">
      <c r="A46" s="5">
        <v>43</v>
      </c>
      <c r="B46" s="15">
        <f t="shared" si="2"/>
        <v>-1.1662163726354766</v>
      </c>
      <c r="C46" s="15">
        <f t="shared" si="4"/>
        <v>-0.95500988601230385</v>
      </c>
      <c r="D46" s="15">
        <f t="shared" si="4"/>
        <v>-1.3052033628794593</v>
      </c>
      <c r="E46" s="15">
        <f t="shared" si="4"/>
        <v>-1.3190545848859627</v>
      </c>
      <c r="F46" s="15">
        <f t="shared" si="4"/>
        <v>-1.1907206385155749</v>
      </c>
      <c r="G46" s="15">
        <f t="shared" si="4"/>
        <v>-1.4031576941401942</v>
      </c>
      <c r="H46" s="15">
        <f t="shared" si="4"/>
        <v>-2.3409674845600827</v>
      </c>
      <c r="I46" s="15">
        <f t="shared" si="4"/>
        <v>-2.4875818998492205</v>
      </c>
      <c r="J46" s="15">
        <f t="shared" si="4"/>
        <v>-0.37911403505764885</v>
      </c>
      <c r="K46" s="15">
        <f t="shared" si="4"/>
        <v>0</v>
      </c>
      <c r="L46" s="15">
        <f t="shared" si="4"/>
        <v>-2.1939131534813012</v>
      </c>
      <c r="M46" s="15">
        <f t="shared" si="4"/>
        <v>-1.6356991727011481</v>
      </c>
      <c r="N46" s="15">
        <f t="shared" si="4"/>
        <v>-0.23821449867073607</v>
      </c>
      <c r="O46" s="15">
        <f t="shared" si="4"/>
        <v>-0.61984145308344862</v>
      </c>
      <c r="P46" s="15">
        <f t="shared" si="4"/>
        <v>-0.75562954998647502</v>
      </c>
      <c r="Q46" s="15">
        <f t="shared" si="4"/>
        <v>-0.58229133021263935</v>
      </c>
      <c r="R46" s="15">
        <f t="shared" si="4"/>
        <v>-0.86408795019317408</v>
      </c>
    </row>
    <row r="47" spans="1:18" ht="14.25" customHeight="1" x14ac:dyDescent="0.2">
      <c r="A47" s="5">
        <v>44</v>
      </c>
      <c r="B47" s="15">
        <f t="shared" si="2"/>
        <v>-1.173344616740537</v>
      </c>
      <c r="C47" s="15">
        <f t="shared" si="4"/>
        <v>-0.96084717637280326</v>
      </c>
      <c r="D47" s="15">
        <f t="shared" si="4"/>
        <v>-1.3131811347540947</v>
      </c>
      <c r="E47" s="15">
        <f t="shared" si="4"/>
        <v>-1.3271170193446027</v>
      </c>
      <c r="F47" s="15">
        <f t="shared" si="4"/>
        <v>-1.197998659619919</v>
      </c>
      <c r="G47" s="15">
        <f t="shared" si="4"/>
        <v>-1.411734190574661</v>
      </c>
      <c r="H47" s="15">
        <f t="shared" si="4"/>
        <v>-2.3552761395091157</v>
      </c>
      <c r="I47" s="15">
        <f t="shared" si="4"/>
        <v>-2.5027867035456253</v>
      </c>
      <c r="J47" s="15">
        <f t="shared" si="4"/>
        <v>-0.38143128719795139</v>
      </c>
      <c r="K47" s="15">
        <f t="shared" si="4"/>
        <v>0</v>
      </c>
      <c r="L47" s="15">
        <f t="shared" si="4"/>
        <v>-2.2073229707933124</v>
      </c>
      <c r="M47" s="15">
        <f t="shared" si="4"/>
        <v>-1.6456970283813168</v>
      </c>
      <c r="N47" s="15">
        <f t="shared" si="4"/>
        <v>-0.23967053301884961</v>
      </c>
      <c r="O47" s="15">
        <f t="shared" si="4"/>
        <v>-0.62363009924524904</v>
      </c>
      <c r="P47" s="15">
        <f t="shared" si="4"/>
        <v>-0.76024817137757106</v>
      </c>
      <c r="Q47" s="15">
        <f t="shared" si="4"/>
        <v>-0.58585045940976777</v>
      </c>
      <c r="R47" s="15">
        <f t="shared" si="4"/>
        <v>-0.86936949998251456</v>
      </c>
    </row>
    <row r="48" spans="1:18" ht="14.25" customHeight="1" x14ac:dyDescent="0.2">
      <c r="A48" s="5">
        <v>45</v>
      </c>
      <c r="B48" s="15">
        <f t="shared" si="2"/>
        <v>-1.1803126619464261</v>
      </c>
      <c r="C48" s="15">
        <f t="shared" si="4"/>
        <v>-0.96655328050060452</v>
      </c>
      <c r="D48" s="15">
        <f t="shared" si="4"/>
        <v>-1.3209796155924916</v>
      </c>
      <c r="E48" s="15">
        <f t="shared" si="4"/>
        <v>-1.3349982600750425</v>
      </c>
      <c r="F48" s="15">
        <f t="shared" si="4"/>
        <v>-1.2051131157632602</v>
      </c>
      <c r="G48" s="15">
        <f t="shared" si="4"/>
        <v>-1.4201179403428663</v>
      </c>
      <c r="H48" s="15">
        <f t="shared" si="4"/>
        <v>-2.3692632242737282</v>
      </c>
      <c r="I48" s="15">
        <f t="shared" si="4"/>
        <v>-2.5176497971689202</v>
      </c>
      <c r="J48" s="15">
        <f t="shared" si="4"/>
        <v>-0.38369646182287875</v>
      </c>
      <c r="K48" s="15">
        <f t="shared" si="4"/>
        <v>0</v>
      </c>
      <c r="L48" s="15">
        <f t="shared" si="4"/>
        <v>-2.2204314182392229</v>
      </c>
      <c r="M48" s="15">
        <f t="shared" si="4"/>
        <v>-1.6554701940185474</v>
      </c>
      <c r="N48" s="15">
        <f t="shared" si="4"/>
        <v>-0.24109384470815884</v>
      </c>
      <c r="O48" s="15">
        <f t="shared" si="4"/>
        <v>-0.627333600042283</v>
      </c>
      <c r="P48" s="15">
        <f t="shared" si="4"/>
        <v>-0.76476299468717068</v>
      </c>
      <c r="Q48" s="15">
        <f t="shared" si="4"/>
        <v>-0.58932960136586099</v>
      </c>
      <c r="R48" s="15">
        <f t="shared" si="4"/>
        <v>-0.87453235315460942</v>
      </c>
    </row>
    <row r="49" spans="1:18" ht="14.25" customHeight="1" x14ac:dyDescent="0.2">
      <c r="A49" s="5">
        <v>46</v>
      </c>
      <c r="B49" s="15">
        <f t="shared" si="2"/>
        <v>-1.1871275508328518</v>
      </c>
      <c r="C49" s="15">
        <f t="shared" si="4"/>
        <v>-0.97213396553583875</v>
      </c>
      <c r="D49" s="15">
        <f t="shared" si="4"/>
        <v>-1.3286066872928417</v>
      </c>
      <c r="E49" s="15">
        <f t="shared" si="4"/>
        <v>-1.3427062726206167</v>
      </c>
      <c r="F49" s="15">
        <f t="shared" si="4"/>
        <v>-1.2120711975023459</v>
      </c>
      <c r="G49" s="15">
        <f t="shared" si="4"/>
        <v>-1.4283174168723283</v>
      </c>
      <c r="H49" s="15">
        <f t="shared" si="4"/>
        <v>-2.3829428755531561</v>
      </c>
      <c r="I49" s="15">
        <f t="shared" si="4"/>
        <v>-2.532186202797531</v>
      </c>
      <c r="J49" s="15">
        <f t="shared" si="4"/>
        <v>-0.38591184833675851</v>
      </c>
      <c r="K49" s="15">
        <f t="shared" si="4"/>
        <v>0</v>
      </c>
      <c r="L49" s="15">
        <f t="shared" si="4"/>
        <v>-2.2332517444825042</v>
      </c>
      <c r="M49" s="15">
        <f t="shared" si="4"/>
        <v>-1.6650285473182753</v>
      </c>
      <c r="N49" s="15">
        <f t="shared" si="4"/>
        <v>-0.24248587227497137</v>
      </c>
      <c r="O49" s="15">
        <f t="shared" si="4"/>
        <v>-0.63095569859027234</v>
      </c>
      <c r="P49" s="15">
        <f t="shared" si="4"/>
        <v>-0.76917858303191378</v>
      </c>
      <c r="Q49" s="15">
        <f t="shared" si="4"/>
        <v>-0.59273227243791993</v>
      </c>
      <c r="R49" s="15">
        <f t="shared" si="4"/>
        <v>-0.87958172778768751</v>
      </c>
    </row>
    <row r="50" spans="1:18" ht="14.25" customHeight="1" x14ac:dyDescent="0.2">
      <c r="A50" s="5">
        <v>47</v>
      </c>
      <c r="B50" s="15">
        <f t="shared" si="2"/>
        <v>-1.1937958715471093</v>
      </c>
      <c r="C50" s="15">
        <f t="shared" si="4"/>
        <v>-0.97759462648576612</v>
      </c>
      <c r="D50" s="15">
        <f t="shared" si="4"/>
        <v>-1.336069723162711</v>
      </c>
      <c r="E50" s="15">
        <f t="shared" si="4"/>
        <v>-1.3502485085367133</v>
      </c>
      <c r="F50" s="15">
        <f t="shared" si="4"/>
        <v>-1.2188796314130821</v>
      </c>
      <c r="G50" s="15">
        <f t="shared" si="4"/>
        <v>-1.4363405468306738</v>
      </c>
      <c r="H50" s="15">
        <f t="shared" si="4"/>
        <v>-2.396328317856129</v>
      </c>
      <c r="I50" s="15">
        <f t="shared" si="4"/>
        <v>-2.5464099731890322</v>
      </c>
      <c r="J50" s="15">
        <f t="shared" si="4"/>
        <v>-0.38807958841686696</v>
      </c>
      <c r="K50" s="15">
        <f t="shared" si="4"/>
        <v>0</v>
      </c>
      <c r="L50" s="15">
        <f t="shared" si="4"/>
        <v>-2.2457963432978851</v>
      </c>
      <c r="M50" s="15">
        <f t="shared" si="4"/>
        <v>-1.6743813286130256</v>
      </c>
      <c r="N50" s="15">
        <f t="shared" si="4"/>
        <v>-0.24384796143200552</v>
      </c>
      <c r="O50" s="15">
        <f t="shared" si="4"/>
        <v>-0.63449989647510485</v>
      </c>
      <c r="P50" s="15">
        <f t="shared" si="4"/>
        <v>-0.77349920508688697</v>
      </c>
      <c r="Q50" s="15">
        <f t="shared" si="4"/>
        <v>-0.59606176208503803</v>
      </c>
      <c r="R50" s="15">
        <f t="shared" si="4"/>
        <v>-0.88452250525610188</v>
      </c>
    </row>
    <row r="51" spans="1:18" ht="14.25" customHeight="1" x14ac:dyDescent="0.2">
      <c r="A51" s="5">
        <v>48</v>
      </c>
      <c r="B51" s="15">
        <f t="shared" si="2"/>
        <v>-1.2003237960794573</v>
      </c>
      <c r="C51" s="15">
        <f t="shared" si="4"/>
        <v>-0.98294031756832745</v>
      </c>
      <c r="D51" s="15">
        <f t="shared" si="4"/>
        <v>-1.3433756307559899</v>
      </c>
      <c r="E51" s="15">
        <f t="shared" si="4"/>
        <v>-1.3576319486823223</v>
      </c>
      <c r="F51" s="15">
        <f t="shared" si="4"/>
        <v>-1.2255447191701447</v>
      </c>
      <c r="G51" s="15">
        <f t="shared" si="4"/>
        <v>-1.4441947561774617</v>
      </c>
      <c r="H51" s="15">
        <f t="shared" si="4"/>
        <v>-2.4094319403317375</v>
      </c>
      <c r="I51" s="15">
        <f t="shared" si="4"/>
        <v>-2.5603342734229186</v>
      </c>
      <c r="J51" s="15">
        <f t="shared" si="4"/>
        <v>-0.3902016884560025</v>
      </c>
      <c r="K51" s="15">
        <f t="shared" si="4"/>
        <v>0</v>
      </c>
      <c r="L51" s="15">
        <f t="shared" si="4"/>
        <v>-2.2580768255758752</v>
      </c>
      <c r="M51" s="15">
        <f t="shared" si="4"/>
        <v>-1.6835371945462805</v>
      </c>
      <c r="N51" s="15">
        <f t="shared" si="4"/>
        <v>-0.24518137288662223</v>
      </c>
      <c r="O51" s="15">
        <f t="shared" si="4"/>
        <v>-0.63796947409611326</v>
      </c>
      <c r="P51" s="15">
        <f t="shared" si="4"/>
        <v>-0.77772885988548723</v>
      </c>
      <c r="Q51" s="15">
        <f t="shared" si="4"/>
        <v>-0.59932115197928082</v>
      </c>
      <c r="R51" s="15">
        <f t="shared" si="4"/>
        <v>-0.88935925858981224</v>
      </c>
    </row>
    <row r="52" spans="1:18" ht="14.25" customHeight="1" x14ac:dyDescent="0.2">
      <c r="A52" s="5">
        <v>49</v>
      </c>
      <c r="B52" s="15">
        <f t="shared" si="2"/>
        <v>-1.2067171145916973</v>
      </c>
      <c r="C52" s="15">
        <f t="shared" si="4"/>
        <v>-0.98817578032367959</v>
      </c>
      <c r="D52" s="15">
        <f t="shared" si="4"/>
        <v>-1.3505308902926725</v>
      </c>
      <c r="E52" s="15">
        <f t="shared" si="4"/>
        <v>-1.3648631420475372</v>
      </c>
      <c r="F52" s="15">
        <f t="shared" si="4"/>
        <v>-1.2320723725968623</v>
      </c>
      <c r="G52" s="15">
        <f t="shared" si="4"/>
        <v>-1.4518870114673321</v>
      </c>
      <c r="H52" s="15">
        <f t="shared" si="4"/>
        <v>-2.4222653656778146</v>
      </c>
      <c r="I52" s="15">
        <f t="shared" si="4"/>
        <v>-2.5739714541247118</v>
      </c>
      <c r="J52" s="15">
        <f t="shared" si="4"/>
        <v>-0.39228003072203216</v>
      </c>
      <c r="K52" s="15">
        <f t="shared" si="4"/>
        <v>0</v>
      </c>
      <c r="L52" s="15">
        <f t="shared" si="4"/>
        <v>-2.2701040839024764</v>
      </c>
      <c r="M52" s="15">
        <f t="shared" si="4"/>
        <v>-1.6925042662206848</v>
      </c>
      <c r="N52" s="15">
        <f t="shared" si="4"/>
        <v>-0.24648728935287276</v>
      </c>
      <c r="O52" s="15">
        <f t="shared" si="4"/>
        <v>-0.64136750891163974</v>
      </c>
      <c r="P52" s="15">
        <f t="shared" si="4"/>
        <v>-0.78187129906202435</v>
      </c>
      <c r="Q52" s="15">
        <f t="shared" si="4"/>
        <v>-0.60251333314593047</v>
      </c>
      <c r="R52" s="15">
        <f t="shared" si="4"/>
        <v>-0.89409627790955426</v>
      </c>
    </row>
    <row r="53" spans="1:18" ht="14.25" customHeight="1" x14ac:dyDescent="0.2">
      <c r="A53" s="5">
        <v>50</v>
      </c>
      <c r="B53" s="15">
        <f t="shared" si="2"/>
        <v>-1.212981266277471</v>
      </c>
      <c r="C53" s="15">
        <f t="shared" si="4"/>
        <v>-0.99330546888556726</v>
      </c>
      <c r="D53" s="15">
        <f t="shared" si="4"/>
        <v>-1.3575415891970124</v>
      </c>
      <c r="E53" s="15">
        <f t="shared" si="4"/>
        <v>-1.3719482406582419</v>
      </c>
      <c r="F53" s="15">
        <f t="shared" si="4"/>
        <v>-1.2384681451739417</v>
      </c>
      <c r="G53" s="15">
        <f t="shared" si="4"/>
        <v>-1.4594238569802203</v>
      </c>
      <c r="H53" s="15">
        <f t="shared" si="4"/>
        <v>-2.434839512087378</v>
      </c>
      <c r="I53" s="15">
        <f t="shared" si="4"/>
        <v>-2.587333117292093</v>
      </c>
      <c r="J53" s="15">
        <f t="shared" si="4"/>
        <v>-0.39431638338996811</v>
      </c>
      <c r="K53" s="15">
        <f t="shared" si="4"/>
        <v>0</v>
      </c>
      <c r="L53" s="15">
        <f t="shared" si="4"/>
        <v>-2.2818883506142909</v>
      </c>
      <c r="M53" s="15">
        <f t="shared" si="4"/>
        <v>-1.7012901724817497</v>
      </c>
      <c r="N53" s="15">
        <f t="shared" si="4"/>
        <v>-0.24776682185510629</v>
      </c>
      <c r="O53" s="15">
        <f t="shared" si="4"/>
        <v>-0.64469689184121604</v>
      </c>
      <c r="P53" s="15">
        <f t="shared" si="4"/>
        <v>-0.78593004684711287</v>
      </c>
      <c r="Q53" s="15">
        <f t="shared" si="4"/>
        <v>-0.60564102137201836</v>
      </c>
      <c r="R53" s="15">
        <f t="shared" si="4"/>
        <v>-0.89873759329224534</v>
      </c>
    </row>
    <row r="54" spans="1:18" ht="14.25" customHeight="1" x14ac:dyDescent="0.2">
      <c r="A54" s="5">
        <v>51</v>
      </c>
      <c r="B54" s="15">
        <f t="shared" si="2"/>
        <v>-1.2191213671664514</v>
      </c>
      <c r="C54" s="15">
        <f t="shared" si="4"/>
        <v>-0.99833357275006518</v>
      </c>
      <c r="D54" s="15">
        <f t="shared" si="4"/>
        <v>-1.3644134532153553</v>
      </c>
      <c r="E54" s="15">
        <f t="shared" si="4"/>
        <v>-1.3788930310241747</v>
      </c>
      <c r="F54" s="15">
        <f t="shared" si="4"/>
        <v>-1.2447372604278755</v>
      </c>
      <c r="G54" s="15">
        <f t="shared" si="4"/>
        <v>-1.466811448174554</v>
      </c>
      <c r="H54" s="15">
        <f t="shared" si="4"/>
        <v>-2.4471646490604928</v>
      </c>
      <c r="I54" s="15">
        <f t="shared" si="4"/>
        <v>-2.6004301756022579</v>
      </c>
      <c r="J54" s="15">
        <f t="shared" si="4"/>
        <v>-0.39631240958056418</v>
      </c>
      <c r="K54" s="15">
        <f t="shared" si="4"/>
        <v>0</v>
      </c>
      <c r="L54" s="15">
        <f t="shared" si="4"/>
        <v>-2.2934392501044032</v>
      </c>
      <c r="M54" s="15">
        <f t="shared" si="4"/>
        <v>-1.7099020889151557</v>
      </c>
      <c r="N54" s="15">
        <f t="shared" si="4"/>
        <v>-0.24902101540732918</v>
      </c>
      <c r="O54" s="15">
        <f t="shared" si="4"/>
        <v>-0.64796034204343178</v>
      </c>
      <c r="P54" s="15">
        <f t="shared" si="4"/>
        <v>-0.78990841808291257</v>
      </c>
      <c r="Q54" s="15">
        <f t="shared" si="4"/>
        <v>-0.60870677108894644</v>
      </c>
      <c r="R54" s="15">
        <f t="shared" si="4"/>
        <v>-0.90328699537202273</v>
      </c>
    </row>
    <row r="55" spans="1:18" ht="14.25" customHeight="1" x14ac:dyDescent="0.2">
      <c r="A55" s="5">
        <v>52</v>
      </c>
      <c r="B55" s="15">
        <f t="shared" si="2"/>
        <v>-1.2251422352285639</v>
      </c>
      <c r="C55" s="15">
        <f t="shared" si="4"/>
        <v>-1.0032640373333219</v>
      </c>
      <c r="D55" s="15">
        <f t="shared" si="4"/>
        <v>-1.3711518745122233</v>
      </c>
      <c r="E55" s="15">
        <f t="shared" si="4"/>
        <v>-1.3857029625331756</v>
      </c>
      <c r="F55" s="15">
        <f t="shared" si="4"/>
        <v>-1.2508846375626481</v>
      </c>
      <c r="G55" s="15">
        <f t="shared" si="4"/>
        <v>-1.474055581891923</v>
      </c>
      <c r="H55" s="15">
        <f t="shared" si="4"/>
        <v>-2.4592504477964341</v>
      </c>
      <c r="I55" s="15">
        <f t="shared" si="4"/>
        <v>-2.6132729059601285</v>
      </c>
      <c r="J55" s="15">
        <f t="shared" si="4"/>
        <v>-0.39826967552120512</v>
      </c>
      <c r="K55" s="15">
        <f t="shared" si="4"/>
        <v>0</v>
      </c>
      <c r="L55" s="15">
        <f t="shared" si="4"/>
        <v>-2.3047658460490248</v>
      </c>
      <c r="M55" s="15">
        <f t="shared" si="4"/>
        <v>-1.7183467730571598</v>
      </c>
      <c r="N55" s="15">
        <f t="shared" si="4"/>
        <v>-0.25025085414106057</v>
      </c>
      <c r="O55" s="15">
        <f t="shared" si="4"/>
        <v>-0.65116042025877174</v>
      </c>
      <c r="P55" s="15">
        <f t="shared" si="4"/>
        <v>-0.79380953448897096</v>
      </c>
      <c r="Q55" s="15">
        <f t="shared" si="4"/>
        <v>-0.61171298790701389</v>
      </c>
      <c r="R55" s="15">
        <f t="shared" si="4"/>
        <v>-0.90774805394078339</v>
      </c>
    </row>
    <row r="56" spans="1:18" ht="14.25" customHeight="1" x14ac:dyDescent="0.2">
      <c r="A56" s="5">
        <v>53</v>
      </c>
      <c r="B56" s="15">
        <f t="shared" si="2"/>
        <v>-1.2310484130868722</v>
      </c>
      <c r="C56" s="15">
        <f t="shared" si="4"/>
        <v>-1.0081005825710507</v>
      </c>
      <c r="D56" s="15">
        <f t="shared" si="4"/>
        <v>-1.3777619370900687</v>
      </c>
      <c r="E56" s="15">
        <f t="shared" si="4"/>
        <v>-1.3923831731407048</v>
      </c>
      <c r="F56" s="15">
        <f t="shared" si="4"/>
        <v>-1.2569149146498571</v>
      </c>
      <c r="G56" s="15">
        <f t="shared" si="4"/>
        <v>-1.4811617236845629</v>
      </c>
      <c r="H56" s="15">
        <f t="shared" si="4"/>
        <v>-2.471106026785677</v>
      </c>
      <c r="I56" s="15">
        <f t="shared" si="4"/>
        <v>-2.625870997945766</v>
      </c>
      <c r="J56" s="15">
        <f t="shared" si="4"/>
        <v>-0.4001896579294193</v>
      </c>
      <c r="K56" s="15">
        <f t="shared" si="4"/>
        <v>0</v>
      </c>
      <c r="L56" s="15">
        <f t="shared" si="4"/>
        <v>-2.3158766841354947</v>
      </c>
      <c r="M56" s="15">
        <f t="shared" si="4"/>
        <v>-1.7266305962509889</v>
      </c>
      <c r="N56" s="15">
        <f t="shared" si="4"/>
        <v>-0.25145726594472756</v>
      </c>
      <c r="O56" s="15">
        <f t="shared" si="4"/>
        <v>-0.65429954088146558</v>
      </c>
      <c r="P56" s="15">
        <f t="shared" si="4"/>
        <v>-0.79763633937864009</v>
      </c>
      <c r="Q56" s="15">
        <f t="shared" si="4"/>
        <v>-0.61466193995595053</v>
      </c>
      <c r="R56" s="15">
        <f t="shared" si="4"/>
        <v>-0.91212413477690546</v>
      </c>
    </row>
    <row r="57" spans="1:18" ht="14.25" customHeight="1" x14ac:dyDescent="0.2">
      <c r="A57" s="5">
        <v>54</v>
      </c>
      <c r="B57" s="15">
        <f t="shared" si="2"/>
        <v>-1.2368441886073762</v>
      </c>
      <c r="C57" s="15">
        <f t="shared" si="4"/>
        <v>-1.0128467197794324</v>
      </c>
      <c r="D57" s="15">
        <f t="shared" si="4"/>
        <v>-1.3842484398329182</v>
      </c>
      <c r="E57" s="15">
        <f t="shared" si="4"/>
        <v>-1.3989385126580312</v>
      </c>
      <c r="F57" s="15">
        <f t="shared" si="4"/>
        <v>-1.2628324696511402</v>
      </c>
      <c r="G57" s="15">
        <f t="shared" si="4"/>
        <v>-1.488135032588404</v>
      </c>
      <c r="H57" s="15">
        <f t="shared" ref="C57:R71" si="5">LOG10($A57)*H$13</f>
        <v>-2.4827399931401777</v>
      </c>
      <c r="I57" s="15">
        <f t="shared" si="4"/>
        <v>-2.6382335977331564</v>
      </c>
      <c r="J57" s="15">
        <f t="shared" si="4"/>
        <v>-0.4020737507062177</v>
      </c>
      <c r="K57" s="15">
        <f t="shared" si="5"/>
        <v>0</v>
      </c>
      <c r="L57" s="15">
        <f t="shared" si="5"/>
        <v>-2.3267798307962839</v>
      </c>
      <c r="M57" s="15">
        <f t="shared" si="5"/>
        <v>-1.7347595725254565</v>
      </c>
      <c r="N57" s="15">
        <f t="shared" si="5"/>
        <v>-0.25264112666939298</v>
      </c>
      <c r="O57" s="15">
        <f t="shared" si="5"/>
        <v>-0.6573799829029201</v>
      </c>
      <c r="P57" s="15">
        <f t="shared" si="5"/>
        <v>-0.80139161099987788</v>
      </c>
      <c r="Q57" s="15">
        <f t="shared" si="5"/>
        <v>-0.61755576816539448</v>
      </c>
      <c r="R57" s="15">
        <f t="shared" si="5"/>
        <v>-0.91641841490090548</v>
      </c>
    </row>
    <row r="58" spans="1:18" ht="14.25" customHeight="1" x14ac:dyDescent="0.2">
      <c r="A58" s="5">
        <v>55</v>
      </c>
      <c r="B58" s="15">
        <f t="shared" si="2"/>
        <v>-1.2425336135995009</v>
      </c>
      <c r="C58" s="15">
        <f t="shared" si="5"/>
        <v>-1.017505766968871</v>
      </c>
      <c r="D58" s="15">
        <f t="shared" si="5"/>
        <v>-1.3906159174355437</v>
      </c>
      <c r="E58" s="15">
        <f t="shared" si="5"/>
        <v>-1.405373563903511</v>
      </c>
      <c r="F58" s="15">
        <f t="shared" si="5"/>
        <v>-1.2686414395115955</v>
      </c>
      <c r="G58" s="15">
        <f t="shared" si="5"/>
        <v>-1.4949803836229574</v>
      </c>
      <c r="H58" s="15">
        <f t="shared" si="5"/>
        <v>-2.4941604801312058</v>
      </c>
      <c r="I58" s="15">
        <f t="shared" si="5"/>
        <v>-2.6503693479790353</v>
      </c>
      <c r="J58" s="15">
        <f t="shared" si="5"/>
        <v>-0.40392327101525594</v>
      </c>
      <c r="K58" s="15">
        <f t="shared" si="5"/>
        <v>0</v>
      </c>
      <c r="L58" s="15">
        <f t="shared" si="5"/>
        <v>-2.3374829083887891</v>
      </c>
      <c r="M58" s="15">
        <f t="shared" si="5"/>
        <v>-1.7427393848236952</v>
      </c>
      <c r="N58" s="15">
        <f t="shared" si="5"/>
        <v>-0.25380326394856784</v>
      </c>
      <c r="O58" s="15">
        <f t="shared" si="5"/>
        <v>-0.66040389985098902</v>
      </c>
      <c r="P58" s="15">
        <f t="shared" si="5"/>
        <v>-0.80507797465190389</v>
      </c>
      <c r="Q58" s="15">
        <f t="shared" si="5"/>
        <v>-0.6203964956020388</v>
      </c>
      <c r="R58" s="15">
        <f t="shared" si="5"/>
        <v>-0.92063389643124371</v>
      </c>
    </row>
    <row r="59" spans="1:18" ht="14.25" customHeight="1" x14ac:dyDescent="0.2">
      <c r="A59" s="5">
        <v>56</v>
      </c>
      <c r="B59" s="15">
        <f t="shared" si="2"/>
        <v>-1.2481205208315749</v>
      </c>
      <c r="C59" s="15">
        <f t="shared" si="5"/>
        <v>-1.022080862777899</v>
      </c>
      <c r="D59" s="15">
        <f t="shared" si="5"/>
        <v>-1.3968686594468049</v>
      </c>
      <c r="E59" s="15">
        <f t="shared" si="5"/>
        <v>-1.4116926619480239</v>
      </c>
      <c r="F59" s="15">
        <f t="shared" si="5"/>
        <v>-1.2743457375327842</v>
      </c>
      <c r="G59" s="15">
        <f t="shared" si="5"/>
        <v>-1.5017023882638427</v>
      </c>
      <c r="H59" s="15">
        <f t="shared" si="5"/>
        <v>-2.5053751813448262</v>
      </c>
      <c r="I59" s="15">
        <f t="shared" si="5"/>
        <v>-2.6622864241175197</v>
      </c>
      <c r="J59" s="15">
        <f t="shared" si="5"/>
        <v>-0.40573946481423151</v>
      </c>
      <c r="K59" s="15">
        <f t="shared" si="5"/>
        <v>0</v>
      </c>
      <c r="L59" s="15">
        <f t="shared" si="5"/>
        <v>-2.3479931272052408</v>
      </c>
      <c r="M59" s="15">
        <f t="shared" si="5"/>
        <v>-1.7505754088685384</v>
      </c>
      <c r="N59" s="15">
        <f t="shared" si="5"/>
        <v>-0.2549444606738383</v>
      </c>
      <c r="O59" s="15">
        <f t="shared" si="5"/>
        <v>-0.66337332883366162</v>
      </c>
      <c r="P59" s="15">
        <f t="shared" si="5"/>
        <v>-0.8086979137100806</v>
      </c>
      <c r="Q59" s="15">
        <f t="shared" si="5"/>
        <v>-0.62318603596545108</v>
      </c>
      <c r="R59" s="15">
        <f t="shared" si="5"/>
        <v>-0.92477341919164935</v>
      </c>
    </row>
    <row r="60" spans="1:18" ht="14.25" customHeight="1" x14ac:dyDescent="0.2">
      <c r="A60" s="5">
        <v>57</v>
      </c>
      <c r="B60" s="15">
        <f t="shared" si="2"/>
        <v>-1.2536085395402627</v>
      </c>
      <c r="C60" s="15">
        <f t="shared" si="5"/>
        <v>-1.0265749791737897</v>
      </c>
      <c r="D60" s="15">
        <f t="shared" si="5"/>
        <v>-1.4030107276274615</v>
      </c>
      <c r="E60" s="15">
        <f t="shared" si="5"/>
        <v>-1.4178999116569915</v>
      </c>
      <c r="F60" s="15">
        <f t="shared" si="5"/>
        <v>-1.2799490692080435</v>
      </c>
      <c r="G60" s="15">
        <f t="shared" si="5"/>
        <v>-1.5083054131032887</v>
      </c>
      <c r="H60" s="15">
        <f t="shared" si="5"/>
        <v>-2.5163913818142665</v>
      </c>
      <c r="I60" s="15">
        <f t="shared" si="5"/>
        <v>-2.6739925674422911</v>
      </c>
      <c r="J60" s="15">
        <f t="shared" si="5"/>
        <v>-0.40752351189669589</v>
      </c>
      <c r="K60" s="15">
        <f t="shared" si="5"/>
        <v>0</v>
      </c>
      <c r="L60" s="15">
        <f t="shared" si="5"/>
        <v>-2.3583173146494048</v>
      </c>
      <c r="M60" s="15">
        <f t="shared" si="5"/>
        <v>-1.7582727349155765</v>
      </c>
      <c r="N60" s="15">
        <f t="shared" si="5"/>
        <v>-0.25606545816286458</v>
      </c>
      <c r="O60" s="15">
        <f t="shared" si="5"/>
        <v>-0.66629019878229301</v>
      </c>
      <c r="P60" s="15">
        <f t="shared" si="5"/>
        <v>-0.81225377967498014</v>
      </c>
      <c r="Q60" s="15">
        <f t="shared" si="5"/>
        <v>-0.62592620133192778</v>
      </c>
      <c r="R60" s="15">
        <f t="shared" si="5"/>
        <v>-0.92883967220256825</v>
      </c>
    </row>
    <row r="61" spans="1:18" ht="14.25" customHeight="1" x14ac:dyDescent="0.2">
      <c r="A61" s="5">
        <v>58</v>
      </c>
      <c r="B61" s="15">
        <f t="shared" si="2"/>
        <v>-1.25900110959114</v>
      </c>
      <c r="C61" s="15">
        <f t="shared" si="5"/>
        <v>-1.0309909330485958</v>
      </c>
      <c r="D61" s="15">
        <f t="shared" si="5"/>
        <v>-1.4090459717983714</v>
      </c>
      <c r="E61" s="15">
        <f t="shared" si="5"/>
        <v>-1.4239992037067626</v>
      </c>
      <c r="F61" s="15">
        <f t="shared" si="5"/>
        <v>-1.2854549466806005</v>
      </c>
      <c r="G61" s="15">
        <f t="shared" si="5"/>
        <v>-1.514793596887726</v>
      </c>
      <c r="H61" s="15">
        <f t="shared" si="5"/>
        <v>-2.5272159864446988</v>
      </c>
      <c r="I61" s="15">
        <f t="shared" si="5"/>
        <v>-2.6854951153116171</v>
      </c>
      <c r="J61" s="15">
        <f t="shared" si="5"/>
        <v>-0.40927653049537938</v>
      </c>
      <c r="K61" s="15">
        <f t="shared" si="5"/>
        <v>0</v>
      </c>
      <c r="L61" s="15">
        <f t="shared" si="5"/>
        <v>-2.3684619418757857</v>
      </c>
      <c r="M61" s="15">
        <f t="shared" si="5"/>
        <v>-1.7658361876143407</v>
      </c>
      <c r="N61" s="15">
        <f t="shared" si="5"/>
        <v>-0.25716695905185794</v>
      </c>
      <c r="O61" s="15">
        <f t="shared" si="5"/>
        <v>-0.66915633797791796</v>
      </c>
      <c r="P61" s="15">
        <f t="shared" si="5"/>
        <v>-0.81574780134748215</v>
      </c>
      <c r="Q61" s="15">
        <f t="shared" si="5"/>
        <v>-0.62861870922486207</v>
      </c>
      <c r="R61" s="15">
        <f t="shared" si="5"/>
        <v>-0.93283520417319699</v>
      </c>
    </row>
    <row r="62" spans="1:18" ht="14.25" customHeight="1" x14ac:dyDescent="0.2">
      <c r="A62" s="5">
        <v>59</v>
      </c>
      <c r="B62" s="15">
        <f t="shared" si="2"/>
        <v>-1.2643014944287774</v>
      </c>
      <c r="C62" s="15">
        <f t="shared" si="5"/>
        <v>-1.0353313968239191</v>
      </c>
      <c r="D62" s="15">
        <f t="shared" si="5"/>
        <v>-1.4149780443339386</v>
      </c>
      <c r="E62" s="15">
        <f t="shared" si="5"/>
        <v>-1.4299942292318679</v>
      </c>
      <c r="F62" s="15">
        <f t="shared" si="5"/>
        <v>-1.29086670196576</v>
      </c>
      <c r="G62" s="15">
        <f t="shared" si="5"/>
        <v>-1.5211708660989509</v>
      </c>
      <c r="H62" s="15">
        <f t="shared" si="5"/>
        <v>-2.5378555460081818</v>
      </c>
      <c r="I62" s="15">
        <f t="shared" si="5"/>
        <v>-2.6968010287713513</v>
      </c>
      <c r="J62" s="15">
        <f t="shared" si="5"/>
        <v>-0.41099958149200871</v>
      </c>
      <c r="K62" s="15">
        <f t="shared" si="5"/>
        <v>0</v>
      </c>
      <c r="L62" s="15">
        <f t="shared" si="5"/>
        <v>-2.3784331481516214</v>
      </c>
      <c r="M62" s="15">
        <f t="shared" si="5"/>
        <v>-1.7732703441716944</v>
      </c>
      <c r="N62" s="15">
        <f t="shared" si="5"/>
        <v>-0.25824962994079975</v>
      </c>
      <c r="O62" s="15">
        <f t="shared" si="5"/>
        <v>-0.67197348093419296</v>
      </c>
      <c r="P62" s="15">
        <f t="shared" si="5"/>
        <v>-0.81918209321955393</v>
      </c>
      <c r="Q62" s="15">
        <f t="shared" si="5"/>
        <v>-0.63126518908071583</v>
      </c>
      <c r="R62" s="15">
        <f t="shared" si="5"/>
        <v>-0.93676243309662466</v>
      </c>
    </row>
    <row r="63" spans="1:18" ht="14.25" customHeight="1" x14ac:dyDescent="0.2">
      <c r="A63" s="5">
        <v>60</v>
      </c>
      <c r="B63" s="15">
        <f t="shared" si="2"/>
        <v>-1.2695127929384209</v>
      </c>
      <c r="C63" s="15">
        <f t="shared" si="5"/>
        <v>-1.0395989081643953</v>
      </c>
      <c r="D63" s="15">
        <f t="shared" si="5"/>
        <v>-1.4208104134374391</v>
      </c>
      <c r="E63" s="15">
        <f t="shared" si="5"/>
        <v>-1.4358884932412306</v>
      </c>
      <c r="F63" s="15">
        <f t="shared" si="5"/>
        <v>-1.2961874990618214</v>
      </c>
      <c r="G63" s="15">
        <f t="shared" si="5"/>
        <v>-1.5274409492257579</v>
      </c>
      <c r="H63" s="15">
        <f t="shared" si="5"/>
        <v>-2.5483162809538276</v>
      </c>
      <c r="I63" s="15">
        <f t="shared" si="5"/>
        <v>-2.7079169178563292</v>
      </c>
      <c r="J63" s="15">
        <f t="shared" si="5"/>
        <v>-0.41269367227330706</v>
      </c>
      <c r="K63" s="15">
        <f t="shared" si="5"/>
        <v>0</v>
      </c>
      <c r="L63" s="15">
        <f t="shared" si="5"/>
        <v>-2.3882367631713519</v>
      </c>
      <c r="M63" s="15">
        <f t="shared" si="5"/>
        <v>-1.7805795509886588</v>
      </c>
      <c r="N63" s="15">
        <f t="shared" si="5"/>
        <v>-0.25931410381634046</v>
      </c>
      <c r="O63" s="15">
        <f t="shared" si="5"/>
        <v>-0.67474327470185325</v>
      </c>
      <c r="P63" s="15">
        <f t="shared" si="5"/>
        <v>-0.82255866315982007</v>
      </c>
      <c r="Q63" s="15">
        <f t="shared" si="5"/>
        <v>-0.63386718817155185</v>
      </c>
      <c r="R63" s="15">
        <f t="shared" si="5"/>
        <v>-0.94062365503854151</v>
      </c>
    </row>
    <row r="64" spans="1:18" ht="14.25" customHeight="1" x14ac:dyDescent="0.2">
      <c r="A64" s="5">
        <v>61</v>
      </c>
      <c r="B64" s="15">
        <f t="shared" si="2"/>
        <v>-1.2746379503272305</v>
      </c>
      <c r="C64" s="15">
        <f t="shared" si="5"/>
        <v>-1.0437958788882935</v>
      </c>
      <c r="D64" s="15">
        <f t="shared" si="5"/>
        <v>-1.426546375319061</v>
      </c>
      <c r="E64" s="15">
        <f t="shared" si="5"/>
        <v>-1.4416853269254413</v>
      </c>
      <c r="F64" s="15">
        <f t="shared" si="5"/>
        <v>-1.3014203450599486</v>
      </c>
      <c r="G64" s="15">
        <f t="shared" si="5"/>
        <v>-1.5336073898559266</v>
      </c>
      <c r="H64" s="15">
        <f t="shared" si="5"/>
        <v>-2.5586041032499103</v>
      </c>
      <c r="I64" s="15">
        <f t="shared" si="5"/>
        <v>-2.7188490648004411</v>
      </c>
      <c r="J64" s="15">
        <f t="shared" si="5"/>
        <v>-0.41435976026826987</v>
      </c>
      <c r="K64" s="15">
        <f t="shared" si="5"/>
        <v>0</v>
      </c>
      <c r="L64" s="15">
        <f t="shared" si="5"/>
        <v>-2.3978783275266529</v>
      </c>
      <c r="M64" s="15">
        <f t="shared" si="5"/>
        <v>-1.7877679389221037</v>
      </c>
      <c r="N64" s="15">
        <f t="shared" si="5"/>
        <v>-0.26036098227443039</v>
      </c>
      <c r="O64" s="15">
        <f t="shared" si="5"/>
        <v>-0.67746728465206674</v>
      </c>
      <c r="P64" s="15">
        <f t="shared" si="5"/>
        <v>-0.82587941946387033</v>
      </c>
      <c r="Q64" s="15">
        <f t="shared" si="5"/>
        <v>-0.63642617703803017</v>
      </c>
      <c r="R64" s="15">
        <f t="shared" si="5"/>
        <v>-0.94442105219950379</v>
      </c>
    </row>
    <row r="65" spans="1:18" ht="14.25" customHeight="1" x14ac:dyDescent="0.2">
      <c r="A65" s="5">
        <v>62</v>
      </c>
      <c r="B65" s="15">
        <f t="shared" si="2"/>
        <v>-1.279679768120739</v>
      </c>
      <c r="C65" s="15">
        <f t="shared" si="5"/>
        <v>-1.0479246031535792</v>
      </c>
      <c r="D65" s="15">
        <f t="shared" si="5"/>
        <v>-1.4321890653837202</v>
      </c>
      <c r="E65" s="15">
        <f t="shared" si="5"/>
        <v>-1.4473878989633027</v>
      </c>
      <c r="F65" s="15">
        <f t="shared" si="5"/>
        <v>-1.3065681003506748</v>
      </c>
      <c r="G65" s="15">
        <f t="shared" si="5"/>
        <v>-1.5396735587036743</v>
      </c>
      <c r="H65" s="15">
        <f t="shared" si="5"/>
        <v>-2.5687246364499439</v>
      </c>
      <c r="I65" s="15">
        <f t="shared" si="5"/>
        <v>-2.7296034453594511</v>
      </c>
      <c r="J65" s="15">
        <f t="shared" si="5"/>
        <v>-0.41599875619781851</v>
      </c>
      <c r="K65" s="15">
        <f t="shared" si="5"/>
        <v>0</v>
      </c>
      <c r="L65" s="15">
        <f t="shared" si="5"/>
        <v>-2.4073631115120109</v>
      </c>
      <c r="M65" s="15">
        <f t="shared" si="5"/>
        <v>-1.7948394373054744</v>
      </c>
      <c r="N65" s="15">
        <f t="shared" si="5"/>
        <v>-0.26139083756222375</v>
      </c>
      <c r="O65" s="15">
        <f t="shared" si="5"/>
        <v>-0.68014699978953141</v>
      </c>
      <c r="P65" s="15">
        <f t="shared" si="5"/>
        <v>-0.82914617733129192</v>
      </c>
      <c r="Q65" s="15">
        <f t="shared" si="5"/>
        <v>-0.63894355448063755</v>
      </c>
      <c r="R65" s="15">
        <f t="shared" si="5"/>
        <v>-0.94815670032164012</v>
      </c>
    </row>
    <row r="66" spans="1:18" ht="14.25" customHeight="1" x14ac:dyDescent="0.2">
      <c r="A66" s="5">
        <v>63</v>
      </c>
      <c r="B66" s="15">
        <f t="shared" si="2"/>
        <v>-1.2846409133594936</v>
      </c>
      <c r="C66" s="15">
        <f t="shared" si="5"/>
        <v>-1.0519872649890039</v>
      </c>
      <c r="D66" s="15">
        <f t="shared" si="5"/>
        <v>-1.4377414685237331</v>
      </c>
      <c r="E66" s="15">
        <f t="shared" si="5"/>
        <v>-1.4529992259237325</v>
      </c>
      <c r="F66" s="15">
        <f t="shared" si="5"/>
        <v>-1.3116334880137794</v>
      </c>
      <c r="G66" s="15">
        <f t="shared" si="5"/>
        <v>-1.5456426646747849</v>
      </c>
      <c r="H66" s="15">
        <f t="shared" si="5"/>
        <v>-2.5786832341532659</v>
      </c>
      <c r="I66" s="15">
        <f t="shared" si="5"/>
        <v>-2.740185748427757</v>
      </c>
      <c r="J66" s="15">
        <f t="shared" si="5"/>
        <v>-0.41761152706444665</v>
      </c>
      <c r="K66" s="15">
        <f t="shared" si="5"/>
        <v>0</v>
      </c>
      <c r="L66" s="15">
        <f t="shared" si="5"/>
        <v>-2.4166961324256491</v>
      </c>
      <c r="M66" s="15">
        <f t="shared" si="5"/>
        <v>-1.8017977868477144</v>
      </c>
      <c r="N66" s="15">
        <f t="shared" si="5"/>
        <v>-0.26240421445660905</v>
      </c>
      <c r="O66" s="15">
        <f t="shared" si="5"/>
        <v>-0.68278383764046835</v>
      </c>
      <c r="P66" s="15">
        <f t="shared" si="5"/>
        <v>-0.83236066482447113</v>
      </c>
      <c r="Q66" s="15">
        <f t="shared" si="5"/>
        <v>-0.64142065215156474</v>
      </c>
      <c r="R66" s="15">
        <f t="shared" si="5"/>
        <v>-0.95183257550274247</v>
      </c>
    </row>
    <row r="67" spans="1:18" ht="14.25" customHeight="1" x14ac:dyDescent="0.2">
      <c r="A67" s="5">
        <v>64</v>
      </c>
      <c r="B67" s="15">
        <f t="shared" si="2"/>
        <v>-1.289523927071452</v>
      </c>
      <c r="C67" s="15">
        <f t="shared" si="5"/>
        <v>-1.0559859452321183</v>
      </c>
      <c r="D67" s="15">
        <f t="shared" si="5"/>
        <v>-1.4432064286009374</v>
      </c>
      <c r="E67" s="15">
        <f t="shared" si="5"/>
        <v>-1.4585221818485103</v>
      </c>
      <c r="F67" s="15">
        <f t="shared" si="5"/>
        <v>-1.3166191024687059</v>
      </c>
      <c r="G67" s="15">
        <f t="shared" si="5"/>
        <v>-1.5515177650603531</v>
      </c>
      <c r="H67" s="15">
        <f t="shared" si="5"/>
        <v>-2.5884849970118373</v>
      </c>
      <c r="I67" s="15">
        <f t="shared" si="5"/>
        <v>-2.7506013941103271</v>
      </c>
      <c r="J67" s="15">
        <f t="shared" si="5"/>
        <v>-0.41919889890643081</v>
      </c>
      <c r="K67" s="15">
        <f t="shared" si="5"/>
        <v>0</v>
      </c>
      <c r="L67" s="15">
        <f t="shared" si="5"/>
        <v>-2.4258821705080043</v>
      </c>
      <c r="M67" s="15">
        <f t="shared" si="5"/>
        <v>-1.8086465515163916</v>
      </c>
      <c r="N67" s="15">
        <f t="shared" si="5"/>
        <v>-0.26340163199480382</v>
      </c>
      <c r="O67" s="15">
        <f t="shared" si="5"/>
        <v>-0.68537914875568351</v>
      </c>
      <c r="P67" s="15">
        <f t="shared" si="5"/>
        <v>-0.83552452835813662</v>
      </c>
      <c r="Q67" s="15">
        <f t="shared" si="5"/>
        <v>-0.64385873878497168</v>
      </c>
      <c r="R67" s="15">
        <f t="shared" si="5"/>
        <v>-0.95545056047374433</v>
      </c>
    </row>
    <row r="68" spans="1:18" ht="14.25" customHeight="1" x14ac:dyDescent="0.2">
      <c r="A68" s="5">
        <v>65</v>
      </c>
      <c r="B68" s="15">
        <f t="shared" si="2"/>
        <v>-1.2943312320875275</v>
      </c>
      <c r="C68" s="15">
        <f t="shared" si="5"/>
        <v>-1.0599226279293894</v>
      </c>
      <c r="D68" s="15">
        <f t="shared" si="5"/>
        <v>-1.4485866571936723</v>
      </c>
      <c r="E68" s="15">
        <f t="shared" si="5"/>
        <v>-1.4639595070920839</v>
      </c>
      <c r="F68" s="15">
        <f t="shared" si="5"/>
        <v>-1.3215274174543246</v>
      </c>
      <c r="G68" s="15">
        <f t="shared" si="5"/>
        <v>-1.5573017749402192</v>
      </c>
      <c r="H68" s="15">
        <f t="shared" si="5"/>
        <v>-2.5981347884185237</v>
      </c>
      <c r="I68" s="15">
        <f t="shared" si="5"/>
        <v>-2.7608555503935381</v>
      </c>
      <c r="J68" s="15">
        <f t="shared" si="5"/>
        <v>-0.42076165933850962</v>
      </c>
      <c r="K68" s="15">
        <f t="shared" si="5"/>
        <v>0</v>
      </c>
      <c r="L68" s="15">
        <f t="shared" si="5"/>
        <v>-2.4349257836445015</v>
      </c>
      <c r="M68" s="15">
        <f t="shared" si="5"/>
        <v>-1.8153891294995379</v>
      </c>
      <c r="N68" s="15">
        <f t="shared" si="5"/>
        <v>-0.26438358507077875</v>
      </c>
      <c r="O68" s="15">
        <f t="shared" si="5"/>
        <v>-0.68793422086451161</v>
      </c>
      <c r="P68" s="15">
        <f t="shared" si="5"/>
        <v>-0.83863933776330368</v>
      </c>
      <c r="Q68" s="15">
        <f t="shared" si="5"/>
        <v>-0.64625902409928482</v>
      </c>
      <c r="R68" s="15">
        <f t="shared" si="5"/>
        <v>-0.95901245038951244</v>
      </c>
    </row>
    <row r="69" spans="1:18" ht="14.25" customHeight="1" x14ac:dyDescent="0.2">
      <c r="A69" s="5">
        <v>66</v>
      </c>
      <c r="B69" s="15">
        <f t="shared" si="2"/>
        <v>-1.2990651402604509</v>
      </c>
      <c r="C69" s="15">
        <f t="shared" si="5"/>
        <v>-1.0637992062476989</v>
      </c>
      <c r="D69" s="15">
        <f t="shared" si="5"/>
        <v>-1.4538847416759704</v>
      </c>
      <c r="E69" s="15">
        <f t="shared" si="5"/>
        <v>-1.4693138164864996</v>
      </c>
      <c r="F69" s="15">
        <f t="shared" si="5"/>
        <v>-1.3263607933994754</v>
      </c>
      <c r="G69" s="15">
        <f t="shared" si="5"/>
        <v>-1.562997475868495</v>
      </c>
      <c r="H69" s="15">
        <f t="shared" si="5"/>
        <v>-2.6076372489976558</v>
      </c>
      <c r="I69" s="15">
        <f t="shared" si="5"/>
        <v>-2.7709531485432715</v>
      </c>
      <c r="J69" s="15">
        <f t="shared" si="5"/>
        <v>-0.42230055989859488</v>
      </c>
      <c r="K69" s="15">
        <f t="shared" si="5"/>
        <v>0</v>
      </c>
      <c r="L69" s="15">
        <f t="shared" si="5"/>
        <v>-2.4438313209458506</v>
      </c>
      <c r="M69" s="15">
        <f t="shared" si="5"/>
        <v>-1.8220287633306043</v>
      </c>
      <c r="N69" s="15">
        <f t="shared" si="5"/>
        <v>-0.265350545909802</v>
      </c>
      <c r="O69" s="15">
        <f t="shared" si="5"/>
        <v>-0.69045028271162612</v>
      </c>
      <c r="P69" s="15">
        <f t="shared" si="5"/>
        <v>-0.8417065909646112</v>
      </c>
      <c r="Q69" s="15">
        <f t="shared" si="5"/>
        <v>-0.64862266240157229</v>
      </c>
      <c r="R69" s="15">
        <f t="shared" si="5"/>
        <v>-0.96251995817753988</v>
      </c>
    </row>
    <row r="70" spans="1:18" ht="14.25" customHeight="1" x14ac:dyDescent="0.2">
      <c r="A70" s="5">
        <v>67</v>
      </c>
      <c r="B70" s="15">
        <f t="shared" si="2"/>
        <v>-1.3037278591407988</v>
      </c>
      <c r="C70" s="15">
        <f t="shared" si="5"/>
        <v>-1.0676174879413143</v>
      </c>
      <c r="D70" s="15">
        <f t="shared" si="5"/>
        <v>-1.4591031526892189</v>
      </c>
      <c r="E70" s="15">
        <f t="shared" si="5"/>
        <v>-1.4745876068923558</v>
      </c>
      <c r="F70" s="15">
        <f t="shared" si="5"/>
        <v>-1.331121484239272</v>
      </c>
      <c r="G70" s="15">
        <f t="shared" si="5"/>
        <v>-1.5686075239059685</v>
      </c>
      <c r="H70" s="15">
        <f t="shared" si="5"/>
        <v>-2.6169968100059378</v>
      </c>
      <c r="I70" s="15">
        <f t="shared" si="5"/>
        <v>-2.7808988973451227</v>
      </c>
      <c r="J70" s="15">
        <f t="shared" si="5"/>
        <v>-0.42381631821801674</v>
      </c>
      <c r="K70" s="15">
        <f t="shared" si="5"/>
        <v>0</v>
      </c>
      <c r="L70" s="15">
        <f t="shared" si="5"/>
        <v>-2.4526029353071408</v>
      </c>
      <c r="M70" s="15">
        <f t="shared" si="5"/>
        <v>-1.8285685492520518</v>
      </c>
      <c r="N70" s="15">
        <f t="shared" si="5"/>
        <v>-0.26630296543210263</v>
      </c>
      <c r="O70" s="15">
        <f t="shared" si="5"/>
        <v>-0.69292850760533364</v>
      </c>
      <c r="P70" s="15">
        <f t="shared" si="5"/>
        <v>-0.84472771830593685</v>
      </c>
      <c r="Q70" s="15">
        <f t="shared" si="5"/>
        <v>-0.65095075592088192</v>
      </c>
      <c r="R70" s="15">
        <f t="shared" si="5"/>
        <v>-0.96597471948443348</v>
      </c>
    </row>
    <row r="71" spans="1:18" ht="14.25" customHeight="1" x14ac:dyDescent="0.2">
      <c r="A71" s="5">
        <v>68</v>
      </c>
      <c r="B71" s="15">
        <f t="shared" si="2"/>
        <v>-1.3083214981584463</v>
      </c>
      <c r="C71" s="15">
        <f t="shared" si="5"/>
        <v>-1.071379200413856</v>
      </c>
      <c r="D71" s="15">
        <f t="shared" si="5"/>
        <v>-1.4642442510603029</v>
      </c>
      <c r="E71" s="15">
        <f t="shared" si="5"/>
        <v>-1.479783264190363</v>
      </c>
      <c r="F71" s="15">
        <f t="shared" si="5"/>
        <v>-1.3358116437264369</v>
      </c>
      <c r="G71" s="15">
        <f t="shared" si="5"/>
        <v>-1.5741344570574458</v>
      </c>
      <c r="H71" s="15">
        <f t="shared" si="5"/>
        <v>-2.6262177057405927</v>
      </c>
      <c r="I71" s="15">
        <f t="shared" si="5"/>
        <v>-2.7906972962896668</v>
      </c>
      <c r="J71" s="15">
        <f t="shared" si="5"/>
        <v>-0.42530962003099254</v>
      </c>
      <c r="K71" s="15">
        <f t="shared" ref="C71:R86" si="6">LOG10($A71)*K$13</f>
        <v>0</v>
      </c>
      <c r="L71" s="15">
        <f t="shared" si="6"/>
        <v>-2.4612445950365327</v>
      </c>
      <c r="M71" s="15">
        <f t="shared" si="6"/>
        <v>-1.8350114458852671</v>
      </c>
      <c r="N71" s="15">
        <f t="shared" si="6"/>
        <v>-0.26724127451551083</v>
      </c>
      <c r="O71" s="15">
        <f t="shared" si="6"/>
        <v>-0.69537001670300214</v>
      </c>
      <c r="P71" s="15">
        <f t="shared" si="6"/>
        <v>-0.84770408655556206</v>
      </c>
      <c r="Q71" s="15">
        <f t="shared" si="6"/>
        <v>-0.65324435789463731</v>
      </c>
      <c r="R71" s="15">
        <f t="shared" si="6"/>
        <v>-0.96937829725595492</v>
      </c>
    </row>
    <row r="72" spans="1:18" ht="14.25" customHeight="1" x14ac:dyDescent="0.2">
      <c r="A72" s="5">
        <v>69</v>
      </c>
      <c r="B72" s="15">
        <f t="shared" si="2"/>
        <v>-1.3128480743527655</v>
      </c>
      <c r="C72" s="15">
        <f t="shared" si="6"/>
        <v>-1.0750859954107344</v>
      </c>
      <c r="D72" s="15">
        <f t="shared" si="6"/>
        <v>-1.4693102942147169</v>
      </c>
      <c r="E72" s="15">
        <f t="shared" si="6"/>
        <v>-1.4849030697625136</v>
      </c>
      <c r="F72" s="15">
        <f t="shared" si="6"/>
        <v>-1.3404333312819021</v>
      </c>
      <c r="G72" s="15">
        <f t="shared" si="6"/>
        <v>-1.5795807021661621</v>
      </c>
      <c r="H72" s="15">
        <f t="shared" si="6"/>
        <v>-2.6353039850416957</v>
      </c>
      <c r="I72" s="15">
        <f t="shared" si="6"/>
        <v>-2.8003526477951768</v>
      </c>
      <c r="J72" s="15">
        <f t="shared" si="6"/>
        <v>-0.42678112103740196</v>
      </c>
      <c r="K72" s="15">
        <f t="shared" si="6"/>
        <v>0</v>
      </c>
      <c r="L72" s="15">
        <f t="shared" si="6"/>
        <v>-2.469760094635042</v>
      </c>
      <c r="M72" s="15">
        <f t="shared" si="6"/>
        <v>-1.8413602822675625</v>
      </c>
      <c r="N72" s="15">
        <f t="shared" si="6"/>
        <v>-0.26816588516592371</v>
      </c>
      <c r="O72" s="15">
        <f t="shared" si="6"/>
        <v>-0.69777588205664931</v>
      </c>
      <c r="P72" s="15">
        <f t="shared" si="6"/>
        <v>-0.8506370026189537</v>
      </c>
      <c r="Q72" s="15">
        <f t="shared" si="6"/>
        <v>-0.65550447542972434</v>
      </c>
      <c r="R72" s="15">
        <f t="shared" si="6"/>
        <v>-0.97273218598271272</v>
      </c>
    </row>
    <row r="73" spans="1:18" ht="14.25" customHeight="1" x14ac:dyDescent="0.2">
      <c r="A73" s="5">
        <v>70</v>
      </c>
      <c r="B73" s="15">
        <f t="shared" si="2"/>
        <v>-1.3173095176905387</v>
      </c>
      <c r="C73" s="15">
        <f t="shared" si="6"/>
        <v>-1.0787394533739667</v>
      </c>
      <c r="D73" s="15">
        <f t="shared" si="6"/>
        <v>-1.4743034421282541</v>
      </c>
      <c r="E73" s="15">
        <f t="shared" si="6"/>
        <v>-1.4899492065069322</v>
      </c>
      <c r="F73" s="15">
        <f t="shared" si="6"/>
        <v>-1.3449885174244609</v>
      </c>
      <c r="G73" s="15">
        <f t="shared" si="6"/>
        <v>-1.5849485813121391</v>
      </c>
      <c r="H73" s="15">
        <f t="shared" si="6"/>
        <v>-2.6442595219669163</v>
      </c>
      <c r="I73" s="15">
        <f t="shared" si="6"/>
        <v>-2.8098690685509298</v>
      </c>
      <c r="J73" s="15">
        <f t="shared" si="6"/>
        <v>-0.42823144863153606</v>
      </c>
      <c r="K73" s="15">
        <f t="shared" si="6"/>
        <v>0</v>
      </c>
      <c r="L73" s="15">
        <f t="shared" si="6"/>
        <v>-2.4781530648007175</v>
      </c>
      <c r="M73" s="15">
        <f t="shared" si="6"/>
        <v>-1.8476177653109167</v>
      </c>
      <c r="N73" s="15">
        <f t="shared" si="6"/>
        <v>-0.26907719160355653</v>
      </c>
      <c r="O73" s="15">
        <f t="shared" si="6"/>
        <v>-0.70014712943940161</v>
      </c>
      <c r="P73" s="15">
        <f t="shared" si="6"/>
        <v>-0.85352771698441343</v>
      </c>
      <c r="Q73" s="15">
        <f t="shared" si="6"/>
        <v>-0.65773207215772211</v>
      </c>
      <c r="R73" s="15">
        <f t="shared" si="6"/>
        <v>-0.9760378156403785</v>
      </c>
    </row>
    <row r="74" spans="1:18" ht="14.25" customHeight="1" x14ac:dyDescent="0.2">
      <c r="A74" s="5">
        <v>71</v>
      </c>
      <c r="B74" s="15">
        <f t="shared" si="2"/>
        <v>-1.3217076760066715</v>
      </c>
      <c r="C74" s="15">
        <f t="shared" si="6"/>
        <v>-1.0823410874881081</v>
      </c>
      <c r="D74" s="15">
        <f t="shared" si="6"/>
        <v>-1.4792257628565424</v>
      </c>
      <c r="E74" s="15">
        <f t="shared" si="6"/>
        <v>-1.4949237644260935</v>
      </c>
      <c r="F74" s="15">
        <f t="shared" si="6"/>
        <v>-1.3494790888152941</v>
      </c>
      <c r="G74" s="15">
        <f t="shared" si="6"/>
        <v>-1.5902403177567082</v>
      </c>
      <c r="H74" s="15">
        <f t="shared" si="6"/>
        <v>-2.6530880257091054</v>
      </c>
      <c r="I74" s="15">
        <f t="shared" si="6"/>
        <v>-2.8192505000559249</v>
      </c>
      <c r="J74" s="15">
        <f t="shared" si="6"/>
        <v>-0.42966120350822623</v>
      </c>
      <c r="K74" s="15">
        <f t="shared" si="6"/>
        <v>0</v>
      </c>
      <c r="L74" s="15">
        <f t="shared" si="6"/>
        <v>-2.4864269817232274</v>
      </c>
      <c r="M74" s="15">
        <f t="shared" si="6"/>
        <v>-1.8537864867316678</v>
      </c>
      <c r="N74" s="15">
        <f t="shared" si="6"/>
        <v>-0.26997557127214622</v>
      </c>
      <c r="O74" s="15">
        <f t="shared" si="6"/>
        <v>-0.70248474097147262</v>
      </c>
      <c r="P74" s="15">
        <f t="shared" si="6"/>
        <v>-0.8563774269243265</v>
      </c>
      <c r="Q74" s="15">
        <f t="shared" si="6"/>
        <v>-0.65992807070179949</v>
      </c>
      <c r="R74" s="15">
        <f t="shared" si="6"/>
        <v>-0.97929655535042393</v>
      </c>
    </row>
    <row r="75" spans="1:18" ht="14.25" customHeight="1" x14ac:dyDescent="0.2">
      <c r="A75" s="5">
        <v>72</v>
      </c>
      <c r="B75" s="15">
        <f t="shared" si="2"/>
        <v>-1.326044319599371</v>
      </c>
      <c r="C75" s="15">
        <f t="shared" si="6"/>
        <v>-1.0858923474432232</v>
      </c>
      <c r="D75" s="15">
        <f t="shared" si="6"/>
        <v>-1.4840792376778655</v>
      </c>
      <c r="E75" s="15">
        <f t="shared" si="6"/>
        <v>-1.4998287458242192</v>
      </c>
      <c r="F75" s="15">
        <f t="shared" si="6"/>
        <v>-1.3539068529497014</v>
      </c>
      <c r="G75" s="15">
        <f t="shared" si="6"/>
        <v>-1.5954580414712956</v>
      </c>
      <c r="H75" s="15">
        <f t="shared" si="6"/>
        <v>-2.6617930498202775</v>
      </c>
      <c r="I75" s="15">
        <f t="shared" si="6"/>
        <v>-2.8285007184205648</v>
      </c>
      <c r="J75" s="15">
        <f t="shared" si="6"/>
        <v>-0.431070961156646</v>
      </c>
      <c r="K75" s="15">
        <f t="shared" si="6"/>
        <v>0</v>
      </c>
      <c r="L75" s="15">
        <f t="shared" si="6"/>
        <v>-2.494585175728413</v>
      </c>
      <c r="M75" s="15">
        <f t="shared" si="6"/>
        <v>-1.8598689294955679</v>
      </c>
      <c r="N75" s="15">
        <f t="shared" si="6"/>
        <v>-0.27086138577757457</v>
      </c>
      <c r="O75" s="15">
        <f t="shared" si="6"/>
        <v>-0.70478965756249035</v>
      </c>
      <c r="P75" s="15">
        <f t="shared" si="6"/>
        <v>-0.85918727947252727</v>
      </c>
      <c r="Q75" s="15">
        <f t="shared" si="6"/>
        <v>-0.66209335497108535</v>
      </c>
      <c r="R75" s="15">
        <f t="shared" si="6"/>
        <v>-0.98250971678483756</v>
      </c>
    </row>
    <row r="76" spans="1:18" ht="14.25" customHeight="1" x14ac:dyDescent="0.2">
      <c r="A76" s="5">
        <v>73</v>
      </c>
      <c r="B76" s="15">
        <f t="shared" si="2"/>
        <v>-1.3303211455083799</v>
      </c>
      <c r="C76" s="15">
        <f t="shared" si="6"/>
        <v>-1.0893946229383158</v>
      </c>
      <c r="D76" s="15">
        <f t="shared" si="6"/>
        <v>-1.488865765881267</v>
      </c>
      <c r="E76" s="15">
        <f t="shared" si="6"/>
        <v>-1.504666070146196</v>
      </c>
      <c r="F76" s="15">
        <f t="shared" si="6"/>
        <v>-1.3582735425252273</v>
      </c>
      <c r="G76" s="15">
        <f t="shared" si="6"/>
        <v>-1.6006037942848685</v>
      </c>
      <c r="H76" s="15">
        <f t="shared" si="6"/>
        <v>-2.6703780007993898</v>
      </c>
      <c r="I76" s="15">
        <f t="shared" si="6"/>
        <v>-2.8376233434922864</v>
      </c>
      <c r="J76" s="15">
        <f t="shared" si="6"/>
        <v>-0.43246127325108119</v>
      </c>
      <c r="K76" s="15">
        <f t="shared" si="6"/>
        <v>0</v>
      </c>
      <c r="L76" s="15">
        <f t="shared" si="6"/>
        <v>-2.502630839326601</v>
      </c>
      <c r="M76" s="15">
        <f t="shared" si="6"/>
        <v>-1.8658674738183023</v>
      </c>
      <c r="N76" s="15">
        <f t="shared" si="6"/>
        <v>-0.2717349817617522</v>
      </c>
      <c r="O76" s="15">
        <f t="shared" si="6"/>
        <v>-0.70706278118536847</v>
      </c>
      <c r="P76" s="15">
        <f t="shared" si="6"/>
        <v>-0.86195837419630628</v>
      </c>
      <c r="Q76" s="15">
        <f t="shared" si="6"/>
        <v>-0.66422877229678856</v>
      </c>
      <c r="R76" s="15">
        <f t="shared" si="6"/>
        <v>-0.98567855733600995</v>
      </c>
    </row>
    <row r="77" spans="1:18" ht="14.25" customHeight="1" x14ac:dyDescent="0.2">
      <c r="A77" s="5">
        <v>74</v>
      </c>
      <c r="B77" s="15">
        <f t="shared" si="2"/>
        <v>-1.3345397815021482</v>
      </c>
      <c r="C77" s="15">
        <f t="shared" si="6"/>
        <v>-1.0928492469464075</v>
      </c>
      <c r="D77" s="15">
        <f t="shared" si="6"/>
        <v>-1.4935871692289047</v>
      </c>
      <c r="E77" s="15">
        <f t="shared" si="6"/>
        <v>-1.5094375784872855</v>
      </c>
      <c r="F77" s="15">
        <f t="shared" si="6"/>
        <v>-1.3625808195126123</v>
      </c>
      <c r="G77" s="15">
        <f t="shared" si="6"/>
        <v>-1.6056795346811863</v>
      </c>
      <c r="H77" s="15">
        <f t="shared" si="6"/>
        <v>-2.6788461460958661</v>
      </c>
      <c r="I77" s="15">
        <f t="shared" si="6"/>
        <v>-2.8466218473603426</v>
      </c>
      <c r="J77" s="15">
        <f t="shared" si="6"/>
        <v>-0.43383266894708111</v>
      </c>
      <c r="K77" s="15">
        <f t="shared" si="6"/>
        <v>0</v>
      </c>
      <c r="L77" s="15">
        <f t="shared" si="6"/>
        <v>-2.5105670347133651</v>
      </c>
      <c r="M77" s="15">
        <f t="shared" si="6"/>
        <v>-1.8717844027577755</v>
      </c>
      <c r="N77" s="15">
        <f t="shared" si="6"/>
        <v>-0.27259669171704881</v>
      </c>
      <c r="O77" s="15">
        <f t="shared" si="6"/>
        <v>-0.70930497699548067</v>
      </c>
      <c r="P77" s="15">
        <f t="shared" si="6"/>
        <v>-0.86469176577982876</v>
      </c>
      <c r="Q77" s="15">
        <f t="shared" si="6"/>
        <v>-0.66633513542299228</v>
      </c>
      <c r="R77" s="15">
        <f t="shared" si="6"/>
        <v>-0.9888042830709598</v>
      </c>
    </row>
    <row r="78" spans="1:18" ht="14.25" customHeight="1" x14ac:dyDescent="0.2">
      <c r="A78" s="5">
        <v>75</v>
      </c>
      <c r="B78" s="15">
        <f t="shared" si="2"/>
        <v>-1.3387017897973847</v>
      </c>
      <c r="C78" s="15">
        <f t="shared" si="6"/>
        <v>-1.096257498760463</v>
      </c>
      <c r="D78" s="15">
        <f t="shared" si="6"/>
        <v>-1.4982451961188881</v>
      </c>
      <c r="E78" s="15">
        <f t="shared" si="6"/>
        <v>-1.5141450378001391</v>
      </c>
      <c r="F78" s="15">
        <f t="shared" si="6"/>
        <v>-1.3668302789534981</v>
      </c>
      <c r="G78" s="15">
        <f t="shared" si="6"/>
        <v>-1.6106871422740543</v>
      </c>
      <c r="H78" s="15">
        <f t="shared" si="6"/>
        <v>-2.6872006215759177</v>
      </c>
      <c r="I78" s="15">
        <f t="shared" si="6"/>
        <v>-2.8554995622897392</v>
      </c>
      <c r="J78" s="15">
        <f t="shared" si="6"/>
        <v>-0.43518565609061161</v>
      </c>
      <c r="K78" s="15">
        <f t="shared" si="6"/>
        <v>0</v>
      </c>
      <c r="L78" s="15">
        <f t="shared" si="6"/>
        <v>-2.5183967007668291</v>
      </c>
      <c r="M78" s="15">
        <f t="shared" si="6"/>
        <v>-1.8776219074310372</v>
      </c>
      <c r="N78" s="15">
        <f t="shared" si="6"/>
        <v>-0.27344683474605869</v>
      </c>
      <c r="O78" s="15">
        <f t="shared" si="6"/>
        <v>-0.71151707530759312</v>
      </c>
      <c r="P78" s="15">
        <f t="shared" si="6"/>
        <v>-0.8673884664341529</v>
      </c>
      <c r="Q78" s="15">
        <f t="shared" si="6"/>
        <v>-0.66841322436382278</v>
      </c>
      <c r="R78" s="15">
        <f t="shared" si="6"/>
        <v>-0.99188805148727066</v>
      </c>
    </row>
    <row r="79" spans="1:18" ht="14.25" customHeight="1" x14ac:dyDescent="0.2">
      <c r="A79" s="5">
        <v>76</v>
      </c>
      <c r="B79" s="15">
        <f t="shared" ref="B79:O103" si="7">LOG10($A79)*B$13</f>
        <v>-1.3428086705322577</v>
      </c>
      <c r="C79" s="15">
        <f t="shared" si="7"/>
        <v>-1.0996206068375804</v>
      </c>
      <c r="D79" s="15">
        <f t="shared" si="7"/>
        <v>-1.5028415254724088</v>
      </c>
      <c r="E79" s="15">
        <f t="shared" si="7"/>
        <v>-1.5187901448231795</v>
      </c>
      <c r="F79" s="15">
        <f t="shared" si="7"/>
        <v>-1.3710234525066047</v>
      </c>
      <c r="G79" s="15">
        <f t="shared" si="7"/>
        <v>-1.6156284219861803</v>
      </c>
      <c r="H79" s="15">
        <f t="shared" si="7"/>
        <v>-2.6954444384943659</v>
      </c>
      <c r="I79" s="15">
        <f t="shared" si="6"/>
        <v>-2.8642596881296996</v>
      </c>
      <c r="J79" s="15">
        <f t="shared" si="6"/>
        <v>-0.43652072234712419</v>
      </c>
      <c r="K79" s="15">
        <f t="shared" si="7"/>
        <v>0</v>
      </c>
      <c r="L79" s="15">
        <f t="shared" si="7"/>
        <v>-2.5261226595815338</v>
      </c>
      <c r="M79" s="15">
        <f t="shared" si="7"/>
        <v>-1.8833820918856876</v>
      </c>
      <c r="N79" s="15">
        <f t="shared" si="7"/>
        <v>-0.27428571727104617</v>
      </c>
      <c r="O79" s="15">
        <f t="shared" si="7"/>
        <v>-0.71369987344186325</v>
      </c>
      <c r="P79" s="15">
        <f t="shared" si="6"/>
        <v>-0.87004944814762952</v>
      </c>
      <c r="Q79" s="15">
        <f t="shared" si="6"/>
        <v>-0.67046378813761853</v>
      </c>
      <c r="R79" s="15">
        <f t="shared" si="6"/>
        <v>-0.99493097408650033</v>
      </c>
    </row>
    <row r="80" spans="1:18" ht="14.25" customHeight="1" x14ac:dyDescent="0.2">
      <c r="A80" s="5">
        <v>77</v>
      </c>
      <c r="B80" s="15">
        <f t="shared" si="7"/>
        <v>-1.3468618650125683</v>
      </c>
      <c r="C80" s="15">
        <f t="shared" si="6"/>
        <v>-1.1029397514572703</v>
      </c>
      <c r="D80" s="15">
        <f t="shared" si="6"/>
        <v>-1.5073777703667852</v>
      </c>
      <c r="E80" s="15">
        <f t="shared" si="6"/>
        <v>-1.523374529752201</v>
      </c>
      <c r="F80" s="15">
        <f t="shared" si="6"/>
        <v>-1.3751618117621147</v>
      </c>
      <c r="G80" s="15">
        <f t="shared" si="6"/>
        <v>-1.620505107954876</v>
      </c>
      <c r="H80" s="15">
        <f t="shared" si="6"/>
        <v>-2.7035804900107441</v>
      </c>
      <c r="I80" s="15">
        <f t="shared" si="6"/>
        <v>-2.8729052992378721</v>
      </c>
      <c r="J80" s="15">
        <f t="shared" si="6"/>
        <v>-0.43783833625682389</v>
      </c>
      <c r="K80" s="15">
        <f t="shared" si="6"/>
        <v>0</v>
      </c>
      <c r="L80" s="15">
        <f t="shared" si="6"/>
        <v>-2.5337476225752158</v>
      </c>
      <c r="M80" s="15">
        <f t="shared" si="6"/>
        <v>-1.8890669776528619</v>
      </c>
      <c r="N80" s="15">
        <f t="shared" si="6"/>
        <v>-0.27511363369701802</v>
      </c>
      <c r="O80" s="15">
        <f t="shared" si="6"/>
        <v>-0.71585413744917437</v>
      </c>
      <c r="P80" s="15">
        <f t="shared" si="6"/>
        <v>-0.87267564478920434</v>
      </c>
      <c r="Q80" s="15">
        <f t="shared" si="6"/>
        <v>-0.67248754638774244</v>
      </c>
      <c r="R80" s="15">
        <f t="shared" si="6"/>
        <v>-0.99793411877937688</v>
      </c>
    </row>
    <row r="81" spans="1:18" ht="14.25" customHeight="1" x14ac:dyDescent="0.2">
      <c r="A81" s="5">
        <v>78</v>
      </c>
      <c r="B81" s="15">
        <f t="shared" si="7"/>
        <v>-1.3508627587484776</v>
      </c>
      <c r="C81" s="15">
        <f t="shared" si="6"/>
        <v>-1.1062160672082175</v>
      </c>
      <c r="D81" s="15">
        <f t="shared" si="6"/>
        <v>-1.5118554814340988</v>
      </c>
      <c r="E81" s="15">
        <f t="shared" si="6"/>
        <v>-1.5278997596750725</v>
      </c>
      <c r="F81" s="15">
        <f t="shared" si="6"/>
        <v>-1.3792467713422045</v>
      </c>
      <c r="G81" s="15">
        <f t="shared" si="6"/>
        <v>-1.6253188671857568</v>
      </c>
      <c r="H81" s="15">
        <f t="shared" si="6"/>
        <v>-2.7116115572849737</v>
      </c>
      <c r="I81" s="15">
        <f t="shared" si="6"/>
        <v>-2.8814393509577743</v>
      </c>
      <c r="J81" s="15">
        <f t="shared" si="6"/>
        <v>-0.43913894822184857</v>
      </c>
      <c r="K81" s="15">
        <f t="shared" si="6"/>
        <v>0</v>
      </c>
      <c r="L81" s="15">
        <f t="shared" si="6"/>
        <v>-2.541274196201563</v>
      </c>
      <c r="M81" s="15">
        <f t="shared" si="6"/>
        <v>-1.894678508006447</v>
      </c>
      <c r="N81" s="15">
        <f t="shared" si="6"/>
        <v>-0.27593086703201292</v>
      </c>
      <c r="O81" s="15">
        <f t="shared" si="6"/>
        <v>-0.71798060372514871</v>
      </c>
      <c r="P81" s="15">
        <f t="shared" si="6"/>
        <v>-0.87526795407601088</v>
      </c>
      <c r="Q81" s="15">
        <f t="shared" si="6"/>
        <v>-0.67448519089881831</v>
      </c>
      <c r="R81" s="15">
        <f t="shared" si="6"/>
        <v>-1.0008985121358085</v>
      </c>
    </row>
    <row r="82" spans="1:18" ht="14.25" customHeight="1" x14ac:dyDescent="0.2">
      <c r="A82" s="5">
        <v>79</v>
      </c>
      <c r="B82" s="15">
        <f t="shared" si="7"/>
        <v>-1.3548126842977923</v>
      </c>
      <c r="C82" s="15">
        <f t="shared" si="6"/>
        <v>-1.109450645316638</v>
      </c>
      <c r="D82" s="15">
        <f t="shared" si="6"/>
        <v>-1.516276150043337</v>
      </c>
      <c r="E82" s="15">
        <f t="shared" si="6"/>
        <v>-1.5323673417876507</v>
      </c>
      <c r="F82" s="15">
        <f t="shared" si="6"/>
        <v>-1.3832796918040744</v>
      </c>
      <c r="G82" s="15">
        <f t="shared" si="6"/>
        <v>-1.6300713029737033</v>
      </c>
      <c r="H82" s="15">
        <f t="shared" si="6"/>
        <v>-2.7195403151847475</v>
      </c>
      <c r="I82" s="15">
        <f t="shared" si="6"/>
        <v>-2.8898646856836305</v>
      </c>
      <c r="J82" s="15">
        <f t="shared" si="6"/>
        <v>-0.44042299143056635</v>
      </c>
      <c r="K82" s="15">
        <f t="shared" si="6"/>
        <v>0</v>
      </c>
      <c r="L82" s="15">
        <f t="shared" si="6"/>
        <v>-2.5487048872990736</v>
      </c>
      <c r="M82" s="15">
        <f t="shared" si="6"/>
        <v>-1.9002185519509895</v>
      </c>
      <c r="N82" s="15">
        <f t="shared" si="6"/>
        <v>-0.27673768946787908</v>
      </c>
      <c r="O82" s="15">
        <f t="shared" si="6"/>
        <v>-0.72007998052134814</v>
      </c>
      <c r="P82" s="15">
        <f t="shared" si="6"/>
        <v>-0.87782723941562923</v>
      </c>
      <c r="Q82" s="15">
        <f t="shared" si="6"/>
        <v>-0.67645738701638247</v>
      </c>
      <c r="R82" s="15">
        <f t="shared" si="6"/>
        <v>-1.0038251414915687</v>
      </c>
    </row>
    <row r="83" spans="1:18" ht="14.25" customHeight="1" x14ac:dyDescent="0.2">
      <c r="A83" s="5">
        <v>80</v>
      </c>
      <c r="B83" s="15">
        <f t="shared" si="7"/>
        <v>-1.3587129239304159</v>
      </c>
      <c r="C83" s="15">
        <f t="shared" si="6"/>
        <v>-1.112644535828186</v>
      </c>
      <c r="D83" s="15">
        <f t="shared" si="6"/>
        <v>-1.5206412112823864</v>
      </c>
      <c r="E83" s="15">
        <f t="shared" si="6"/>
        <v>-1.5367787264074189</v>
      </c>
      <c r="F83" s="15">
        <f t="shared" si="6"/>
        <v>-1.3872618823603826</v>
      </c>
      <c r="G83" s="15">
        <f t="shared" si="6"/>
        <v>-1.6347639581086495</v>
      </c>
      <c r="H83" s="15">
        <f t="shared" si="6"/>
        <v>-2.7273693376339274</v>
      </c>
      <c r="I83" s="15">
        <f t="shared" si="6"/>
        <v>-2.8981840385437376</v>
      </c>
      <c r="J83" s="15">
        <f t="shared" si="6"/>
        <v>-0.44169088272373536</v>
      </c>
      <c r="K83" s="15">
        <f t="shared" si="6"/>
        <v>0</v>
      </c>
      <c r="L83" s="15">
        <f t="shared" si="6"/>
        <v>-2.556042108103481</v>
      </c>
      <c r="M83" s="15">
        <f t="shared" si="6"/>
        <v>-1.90568890795877</v>
      </c>
      <c r="N83" s="15">
        <f t="shared" si="6"/>
        <v>-0.27753436292452205</v>
      </c>
      <c r="O83" s="15">
        <f t="shared" si="6"/>
        <v>-0.72215294936142349</v>
      </c>
      <c r="P83" s="15">
        <f t="shared" si="6"/>
        <v>-0.88035433163246946</v>
      </c>
      <c r="Q83" s="15">
        <f t="shared" si="6"/>
        <v>-0.67840477497724261</v>
      </c>
      <c r="R83" s="15">
        <f t="shared" si="6"/>
        <v>-1.0067149569224736</v>
      </c>
    </row>
    <row r="84" spans="1:18" ht="14.25" customHeight="1" x14ac:dyDescent="0.2">
      <c r="A84" s="5">
        <v>81</v>
      </c>
      <c r="B84" s="15">
        <f t="shared" si="7"/>
        <v>-1.3625647121272897</v>
      </c>
      <c r="C84" s="15">
        <f t="shared" si="6"/>
        <v>-1.115798749654328</v>
      </c>
      <c r="D84" s="15">
        <f t="shared" si="6"/>
        <v>-1.5249520467547937</v>
      </c>
      <c r="E84" s="15">
        <f t="shared" si="6"/>
        <v>-1.5411353097999281</v>
      </c>
      <c r="F84" s="15">
        <f t="shared" si="6"/>
        <v>-1.3911946034306963</v>
      </c>
      <c r="G84" s="15">
        <f t="shared" si="6"/>
        <v>-1.6393983178822378</v>
      </c>
      <c r="H84" s="15">
        <f t="shared" si="6"/>
        <v>-2.7351011026287173</v>
      </c>
      <c r="I84" s="15">
        <f t="shared" si="6"/>
        <v>-2.9064000427308021</v>
      </c>
      <c r="J84" s="15">
        <f t="shared" si="6"/>
        <v>-0.44294302340686115</v>
      </c>
      <c r="K84" s="15">
        <f t="shared" si="6"/>
        <v>0</v>
      </c>
      <c r="L84" s="15">
        <f t="shared" si="6"/>
        <v>-2.5632881809488217</v>
      </c>
      <c r="M84" s="15">
        <f t="shared" si="6"/>
        <v>-1.9110913074747438</v>
      </c>
      <c r="N84" s="15">
        <f t="shared" si="6"/>
        <v>-0.27832113956034532</v>
      </c>
      <c r="O84" s="15">
        <f t="shared" si="6"/>
        <v>-0.72420016636929707</v>
      </c>
      <c r="P84" s="15">
        <f t="shared" si="6"/>
        <v>-0.88285003058691791</v>
      </c>
      <c r="Q84" s="15">
        <f t="shared" si="6"/>
        <v>-0.6803279711571989</v>
      </c>
      <c r="R84" s="15">
        <f t="shared" si="6"/>
        <v>-1.0095688730959307</v>
      </c>
    </row>
    <row r="85" spans="1:18" ht="14.25" customHeight="1" x14ac:dyDescent="0.2">
      <c r="A85" s="5">
        <v>82</v>
      </c>
      <c r="B85" s="15">
        <f t="shared" si="7"/>
        <v>-1.3663692379260157</v>
      </c>
      <c r="C85" s="15">
        <f t="shared" si="6"/>
        <v>-1.1189142604931626</v>
      </c>
      <c r="D85" s="15">
        <f t="shared" si="6"/>
        <v>-1.5292099872049325</v>
      </c>
      <c r="E85" s="15">
        <f t="shared" si="6"/>
        <v>-1.5454384368318232</v>
      </c>
      <c r="F85" s="15">
        <f t="shared" si="6"/>
        <v>-1.3950790690363974</v>
      </c>
      <c r="G85" s="15">
        <f t="shared" si="6"/>
        <v>-1.6439758129100031</v>
      </c>
      <c r="H85" s="15">
        <f t="shared" si="6"/>
        <v>-2.7427379969460737</v>
      </c>
      <c r="I85" s="15">
        <f t="shared" si="6"/>
        <v>-2.9145152345052345</v>
      </c>
      <c r="J85" s="15">
        <f t="shared" si="6"/>
        <v>-0.44417980001271212</v>
      </c>
      <c r="K85" s="15">
        <f t="shared" si="6"/>
        <v>0</v>
      </c>
      <c r="L85" s="15">
        <f t="shared" si="6"/>
        <v>-2.5704453426800717</v>
      </c>
      <c r="M85" s="15">
        <f t="shared" si="6"/>
        <v>-1.9164274182064369</v>
      </c>
      <c r="N85" s="15">
        <f t="shared" si="6"/>
        <v>-0.27909826225137335</v>
      </c>
      <c r="O85" s="15">
        <f t="shared" si="6"/>
        <v>-0.72622226351585528</v>
      </c>
      <c r="P85" s="15">
        <f t="shared" si="6"/>
        <v>-0.8853151066951418</v>
      </c>
      <c r="Q85" s="15">
        <f t="shared" si="6"/>
        <v>-0.68222756924221128</v>
      </c>
      <c r="R85" s="15">
        <f t="shared" si="6"/>
        <v>-1.0123877710088875</v>
      </c>
    </row>
    <row r="86" spans="1:18" ht="14.25" customHeight="1" x14ac:dyDescent="0.2">
      <c r="A86" s="5">
        <v>83</v>
      </c>
      <c r="B86" s="15">
        <f t="shared" si="7"/>
        <v>-1.3701276471243073</v>
      </c>
      <c r="C86" s="15">
        <f t="shared" si="6"/>
        <v>-1.121992006633818</v>
      </c>
      <c r="D86" s="15">
        <f t="shared" si="6"/>
        <v>-1.5334163149840578</v>
      </c>
      <c r="E86" s="15">
        <f t="shared" si="6"/>
        <v>-1.5496894034630675</v>
      </c>
      <c r="F86" s="15">
        <f t="shared" si="6"/>
        <v>-1.3989164490504331</v>
      </c>
      <c r="G86" s="15">
        <f t="shared" si="6"/>
        <v>-1.648497821782501</v>
      </c>
      <c r="H86" s="15">
        <f t="shared" si="6"/>
        <v>-2.7502823205667317</v>
      </c>
      <c r="I86" s="15">
        <f t="shared" ref="I86:J86" si="8">LOG10($A86)*I$13</f>
        <v>-2.9225320578951934</v>
      </c>
      <c r="J86" s="15">
        <f t="shared" si="8"/>
        <v>-0.44540158501761828</v>
      </c>
      <c r="K86" s="15">
        <f t="shared" ref="C86:R100" si="9">LOG10($A86)*K$13</f>
        <v>0</v>
      </c>
      <c r="L86" s="15">
        <f t="shared" si="9"/>
        <v>-2.5775157487983322</v>
      </c>
      <c r="M86" s="15">
        <f t="shared" si="9"/>
        <v>-1.9216988472144392</v>
      </c>
      <c r="N86" s="15">
        <f t="shared" si="9"/>
        <v>-0.27986596504133437</v>
      </c>
      <c r="O86" s="15">
        <f t="shared" si="9"/>
        <v>-0.72821984979007881</v>
      </c>
      <c r="P86" s="15">
        <f t="shared" si="9"/>
        <v>-0.88775030235677721</v>
      </c>
      <c r="Q86" s="15">
        <f t="shared" si="9"/>
        <v>-0.68410414132858244</v>
      </c>
      <c r="R86" s="15">
        <f t="shared" si="9"/>
        <v>-1.0151724996204401</v>
      </c>
    </row>
    <row r="87" spans="1:18" ht="14.25" customHeight="1" x14ac:dyDescent="0.2">
      <c r="A87" s="5">
        <v>84</v>
      </c>
      <c r="B87" s="15">
        <f t="shared" si="7"/>
        <v>-1.3738410443514886</v>
      </c>
      <c r="C87" s="15">
        <f t="shared" si="9"/>
        <v>-1.1250328926527946</v>
      </c>
      <c r="D87" s="15">
        <f t="shared" si="9"/>
        <v>-1.5375722663686804</v>
      </c>
      <c r="E87" s="15">
        <f t="shared" si="9"/>
        <v>-1.5538894590899208</v>
      </c>
      <c r="F87" s="15">
        <f t="shared" si="9"/>
        <v>-1.4027078713123406</v>
      </c>
      <c r="G87" s="15">
        <f t="shared" si="9"/>
        <v>-1.6529656735576765</v>
      </c>
      <c r="H87" s="15">
        <f t="shared" si="9"/>
        <v>-2.7577362908333658</v>
      </c>
      <c r="I87" s="15">
        <f t="shared" si="9"/>
        <v>-2.9304528691151654</v>
      </c>
      <c r="J87" s="15">
        <f t="shared" si="9"/>
        <v>-0.44660873751487495</v>
      </c>
      <c r="K87" s="15">
        <f t="shared" si="9"/>
        <v>0</v>
      </c>
      <c r="L87" s="15">
        <f t="shared" si="9"/>
        <v>-2.5845014773577786</v>
      </c>
      <c r="M87" s="15">
        <f t="shared" si="9"/>
        <v>-1.9269071438178256</v>
      </c>
      <c r="N87" s="15">
        <f t="shared" si="9"/>
        <v>-0.28062447356479064</v>
      </c>
      <c r="O87" s="15">
        <f t="shared" si="9"/>
        <v>-0.73019351230003859</v>
      </c>
      <c r="P87" s="15">
        <f t="shared" si="9"/>
        <v>-0.89015633329712052</v>
      </c>
      <c r="Q87" s="15">
        <f t="shared" si="9"/>
        <v>-0.6859582389572555</v>
      </c>
      <c r="R87" s="15">
        <f t="shared" si="9"/>
        <v>-1.0179238773866746</v>
      </c>
    </row>
    <row r="88" spans="1:18" ht="14.25" customHeight="1" x14ac:dyDescent="0.2">
      <c r="A88" s="5">
        <v>85</v>
      </c>
      <c r="B88" s="15">
        <f t="shared" si="7"/>
        <v>-1.37751049501741</v>
      </c>
      <c r="C88" s="15">
        <f t="shared" si="9"/>
        <v>-1.1280377910099237</v>
      </c>
      <c r="D88" s="15">
        <f t="shared" si="9"/>
        <v>-1.5416790337417519</v>
      </c>
      <c r="E88" s="15">
        <f t="shared" si="9"/>
        <v>-1.5580398087492713</v>
      </c>
      <c r="F88" s="15">
        <f t="shared" si="9"/>
        <v>-1.4064544236181133</v>
      </c>
      <c r="G88" s="15">
        <f t="shared" si="9"/>
        <v>-1.657380650105742</v>
      </c>
      <c r="H88" s="15">
        <f t="shared" si="9"/>
        <v>-2.7651020463626828</v>
      </c>
      <c r="I88" s="15">
        <f t="shared" si="9"/>
        <v>-2.9382799407230764</v>
      </c>
      <c r="J88" s="15">
        <f t="shared" si="9"/>
        <v>-0.44780160384829704</v>
      </c>
      <c r="K88" s="15">
        <f t="shared" si="9"/>
        <v>0</v>
      </c>
      <c r="L88" s="15">
        <f t="shared" si="9"/>
        <v>-2.5914045326320094</v>
      </c>
      <c r="M88" s="15">
        <f t="shared" si="9"/>
        <v>-1.9320538023276452</v>
      </c>
      <c r="N88" s="15">
        <f t="shared" si="9"/>
        <v>-0.281374005445229</v>
      </c>
      <c r="O88" s="15">
        <f t="shared" si="9"/>
        <v>-0.73214381730874201</v>
      </c>
      <c r="P88" s="15">
        <f t="shared" si="9"/>
        <v>-0.89253388982989479</v>
      </c>
      <c r="Q88" s="15">
        <f t="shared" si="9"/>
        <v>-0.68779039408690823</v>
      </c>
      <c r="R88" s="15">
        <f t="shared" si="9"/>
        <v>-1.020642693704684</v>
      </c>
    </row>
    <row r="89" spans="1:18" ht="14.25" customHeight="1" x14ac:dyDescent="0.2">
      <c r="A89" s="5">
        <v>86</v>
      </c>
      <c r="B89" s="15">
        <f t="shared" si="7"/>
        <v>-1.3811370271473853</v>
      </c>
      <c r="C89" s="15">
        <f t="shared" si="9"/>
        <v>-1.1310075435509903</v>
      </c>
      <c r="D89" s="15">
        <f t="shared" si="9"/>
        <v>-1.5457377676462822</v>
      </c>
      <c r="E89" s="15">
        <f t="shared" si="9"/>
        <v>-1.5621416151940477</v>
      </c>
      <c r="F89" s="15">
        <f t="shared" si="9"/>
        <v>-1.4101571555936927</v>
      </c>
      <c r="G89" s="15">
        <f t="shared" si="9"/>
        <v>-1.6617439883169196</v>
      </c>
      <c r="H89" s="15">
        <f t="shared" si="9"/>
        <v>-2.7723816507287227</v>
      </c>
      <c r="I89" s="15">
        <f t="shared" si="9"/>
        <v>-2.9460154655342752</v>
      </c>
      <c r="J89" s="15">
        <f t="shared" si="9"/>
        <v>-0.4489805182087207</v>
      </c>
      <c r="K89" s="15">
        <f t="shared" si="9"/>
        <v>0</v>
      </c>
      <c r="L89" s="15">
        <f t="shared" si="9"/>
        <v>-2.598226848565969</v>
      </c>
      <c r="M89" s="15">
        <f t="shared" si="9"/>
        <v>-1.9371402646205467</v>
      </c>
      <c r="N89" s="15">
        <f t="shared" si="9"/>
        <v>-0.28211477066987006</v>
      </c>
      <c r="O89" s="15">
        <f t="shared" si="9"/>
        <v>-0.73407131120939595</v>
      </c>
      <c r="P89" s="15">
        <f t="shared" si="9"/>
        <v>-0.89488363804616455</v>
      </c>
      <c r="Q89" s="15">
        <f t="shared" si="9"/>
        <v>-0.68960112001013474</v>
      </c>
      <c r="R89" s="15">
        <f t="shared" si="9"/>
        <v>-1.0233297102721315</v>
      </c>
    </row>
    <row r="90" spans="1:18" ht="14.25" customHeight="1" x14ac:dyDescent="0.2">
      <c r="A90" s="5">
        <v>87</v>
      </c>
      <c r="B90" s="15">
        <f t="shared" si="7"/>
        <v>-1.3847216331110537</v>
      </c>
      <c r="C90" s="15">
        <f t="shared" si="9"/>
        <v>-1.1339429629234912</v>
      </c>
      <c r="D90" s="15">
        <f t="shared" si="9"/>
        <v>-1.5497495787202469</v>
      </c>
      <c r="E90" s="15">
        <f t="shared" si="9"/>
        <v>-1.5661960008486593</v>
      </c>
      <c r="F90" s="15">
        <f t="shared" si="9"/>
        <v>-1.4138170804601566</v>
      </c>
      <c r="G90" s="15">
        <f t="shared" si="9"/>
        <v>-1.6660568821815598</v>
      </c>
      <c r="H90" s="15">
        <f t="shared" si="9"/>
        <v>-2.7795770959332384</v>
      </c>
      <c r="I90" s="15">
        <f t="shared" si="9"/>
        <v>-2.9536615603092629</v>
      </c>
      <c r="J90" s="15">
        <f t="shared" si="9"/>
        <v>-0.45014580319602282</v>
      </c>
      <c r="K90" s="15">
        <f t="shared" si="9"/>
        <v>0</v>
      </c>
      <c r="L90" s="15">
        <f t="shared" si="9"/>
        <v>-2.6049702920283235</v>
      </c>
      <c r="M90" s="15">
        <f t="shared" si="9"/>
        <v>-1.9421679225636279</v>
      </c>
      <c r="N90" s="15">
        <f t="shared" si="9"/>
        <v>-0.28284697194281028</v>
      </c>
      <c r="O90" s="15">
        <f t="shared" si="9"/>
        <v>-0.73597652144429493</v>
      </c>
      <c r="P90" s="15">
        <f t="shared" si="9"/>
        <v>-0.89720622093452218</v>
      </c>
      <c r="Q90" s="15">
        <f t="shared" si="9"/>
        <v>-0.69139091221666649</v>
      </c>
      <c r="R90" s="15">
        <f t="shared" si="9"/>
        <v>-1.0259856623682222</v>
      </c>
    </row>
    <row r="91" spans="1:18" ht="14.25" customHeight="1" x14ac:dyDescent="0.2">
      <c r="A91" s="5">
        <v>88</v>
      </c>
      <c r="B91" s="15">
        <f t="shared" si="7"/>
        <v>-1.3882652712524457</v>
      </c>
      <c r="C91" s="15">
        <f t="shared" si="9"/>
        <v>-1.1368448339114896</v>
      </c>
      <c r="D91" s="15">
        <f t="shared" si="9"/>
        <v>-1.5537155395209177</v>
      </c>
      <c r="E91" s="15">
        <f t="shared" si="9"/>
        <v>-1.5702040496526877</v>
      </c>
      <c r="F91" s="15">
        <f t="shared" si="9"/>
        <v>-1.4174351766980366</v>
      </c>
      <c r="G91" s="15">
        <f t="shared" si="9"/>
        <v>-1.6703204847513866</v>
      </c>
      <c r="H91" s="15">
        <f t="shared" si="9"/>
        <v>-2.7866903056777552</v>
      </c>
      <c r="I91" s="15">
        <f t="shared" si="9"/>
        <v>-2.9612202692306799</v>
      </c>
      <c r="J91" s="15">
        <f t="shared" si="9"/>
        <v>-0.45129777034902319</v>
      </c>
      <c r="K91" s="15">
        <f t="shared" si="9"/>
        <v>0</v>
      </c>
      <c r="L91" s="15">
        <f t="shared" si="9"/>
        <v>-2.6116366658779797</v>
      </c>
      <c r="M91" s="15">
        <f t="shared" si="9"/>
        <v>-1.9471381203007154</v>
      </c>
      <c r="N91" s="15">
        <f t="shared" si="9"/>
        <v>-0.2835708050179836</v>
      </c>
      <c r="O91" s="15">
        <f t="shared" si="9"/>
        <v>-0.73785995737119636</v>
      </c>
      <c r="P91" s="15">
        <f t="shared" si="9"/>
        <v>-0.89950225943726059</v>
      </c>
      <c r="Q91" s="15">
        <f t="shared" si="9"/>
        <v>-0.69316024920726316</v>
      </c>
      <c r="R91" s="15">
        <f t="shared" si="9"/>
        <v>-1.0286112600614719</v>
      </c>
    </row>
    <row r="92" spans="1:18" ht="14.25" customHeight="1" x14ac:dyDescent="0.2">
      <c r="A92" s="5">
        <v>89</v>
      </c>
      <c r="B92" s="15">
        <f t="shared" si="7"/>
        <v>-1.3917688674279463</v>
      </c>
      <c r="C92" s="15">
        <f t="shared" si="9"/>
        <v>-1.1397139146950466</v>
      </c>
      <c r="D92" s="15">
        <f t="shared" si="9"/>
        <v>-1.5576366862461184</v>
      </c>
      <c r="E92" s="15">
        <f t="shared" si="9"/>
        <v>-1.5741668088004086</v>
      </c>
      <c r="F92" s="15">
        <f t="shared" si="9"/>
        <v>-1.4210123896175957</v>
      </c>
      <c r="G92" s="15">
        <f t="shared" si="9"/>
        <v>-1.6745359099899333</v>
      </c>
      <c r="H92" s="15">
        <f t="shared" si="9"/>
        <v>-2.7937231384507517</v>
      </c>
      <c r="I92" s="15">
        <f t="shared" si="9"/>
        <v>-2.9686935671838381</v>
      </c>
      <c r="J92" s="15">
        <f t="shared" si="9"/>
        <v>-0.45243672064544621</v>
      </c>
      <c r="K92" s="15">
        <f t="shared" si="9"/>
        <v>0</v>
      </c>
      <c r="L92" s="15">
        <f t="shared" si="9"/>
        <v>-2.6182277118573354</v>
      </c>
      <c r="M92" s="15">
        <f t="shared" si="9"/>
        <v>-1.9520521564094646</v>
      </c>
      <c r="N92" s="15">
        <f t="shared" si="9"/>
        <v>-0.28428645901330996</v>
      </c>
      <c r="O92" s="15">
        <f t="shared" si="9"/>
        <v>-0.73972211108074537</v>
      </c>
      <c r="P92" s="15">
        <f t="shared" si="9"/>
        <v>-0.90177235344686957</v>
      </c>
      <c r="Q92" s="15">
        <f t="shared" si="9"/>
        <v>-0.69490959326161705</v>
      </c>
      <c r="R92" s="15">
        <f t="shared" si="9"/>
        <v>-1.0312071893492347</v>
      </c>
    </row>
    <row r="93" spans="1:18" ht="14.25" customHeight="1" x14ac:dyDescent="0.2">
      <c r="A93" s="5">
        <v>90</v>
      </c>
      <c r="B93" s="15">
        <f t="shared" si="7"/>
        <v>-1.3952333164583348</v>
      </c>
      <c r="C93" s="15">
        <f t="shared" si="9"/>
        <v>-1.1425509380392909</v>
      </c>
      <c r="D93" s="15">
        <f t="shared" si="9"/>
        <v>-1.5615140203593145</v>
      </c>
      <c r="E93" s="15">
        <f t="shared" si="9"/>
        <v>-1.5780852903831277</v>
      </c>
      <c r="F93" s="15">
        <f t="shared" si="9"/>
        <v>-1.424549632841378</v>
      </c>
      <c r="G93" s="15">
        <f t="shared" si="9"/>
        <v>-1.6787042345195919</v>
      </c>
      <c r="H93" s="15">
        <f t="shared" si="9"/>
        <v>-2.8006773904423676</v>
      </c>
      <c r="I93" s="15">
        <f t="shared" si="9"/>
        <v>-2.9760833628539749</v>
      </c>
      <c r="J93" s="15">
        <f t="shared" si="9"/>
        <v>-0.45356294497395055</v>
      </c>
      <c r="K93" s="15">
        <f t="shared" si="9"/>
        <v>0</v>
      </c>
      <c r="L93" s="15">
        <f t="shared" si="9"/>
        <v>-2.6247451133238902</v>
      </c>
      <c r="M93" s="15">
        <f t="shared" si="9"/>
        <v>-1.9569112859379463</v>
      </c>
      <c r="N93" s="15">
        <f t="shared" si="9"/>
        <v>-0.2849941167072928</v>
      </c>
      <c r="O93" s="15">
        <f t="shared" si="9"/>
        <v>-0.74156345816823022</v>
      </c>
      <c r="P93" s="15">
        <f t="shared" si="9"/>
        <v>-0.9040170827468601</v>
      </c>
      <c r="Q93" s="15">
        <f t="shared" si="9"/>
        <v>-0.69663939116335638</v>
      </c>
      <c r="R93" s="15">
        <f t="shared" si="9"/>
        <v>-1.0337741132335667</v>
      </c>
    </row>
    <row r="94" spans="1:18" ht="14.25" customHeight="1" x14ac:dyDescent="0.2">
      <c r="A94" s="5">
        <v>91</v>
      </c>
      <c r="B94" s="15">
        <f t="shared" si="7"/>
        <v>-1.3986594835005952</v>
      </c>
      <c r="C94" s="15">
        <f t="shared" si="9"/>
        <v>-1.145356612417789</v>
      </c>
      <c r="D94" s="15">
        <f t="shared" si="9"/>
        <v>-1.5653485101249138</v>
      </c>
      <c r="E94" s="15">
        <f t="shared" si="9"/>
        <v>-1.5819604729407741</v>
      </c>
      <c r="F94" s="15">
        <f t="shared" si="9"/>
        <v>-1.428047789704844</v>
      </c>
      <c r="G94" s="15">
        <f t="shared" si="9"/>
        <v>-1.682826499272138</v>
      </c>
      <c r="H94" s="15">
        <f t="shared" si="9"/>
        <v>-2.8075547982980624</v>
      </c>
      <c r="I94" s="15">
        <f t="shared" si="9"/>
        <v>-2.9833915016523753</v>
      </c>
      <c r="J94" s="15">
        <f t="shared" si="9"/>
        <v>-0.45467672458007763</v>
      </c>
      <c r="K94" s="15">
        <f t="shared" si="9"/>
        <v>0</v>
      </c>
      <c r="L94" s="15">
        <f t="shared" si="9"/>
        <v>-2.6311904978309286</v>
      </c>
      <c r="M94" s="15">
        <f t="shared" si="9"/>
        <v>-1.9617167223287051</v>
      </c>
      <c r="N94" s="15">
        <f t="shared" si="9"/>
        <v>-0.28569395481922899</v>
      </c>
      <c r="O94" s="15">
        <f t="shared" si="9"/>
        <v>-0.74338445846269707</v>
      </c>
      <c r="P94" s="15">
        <f t="shared" si="9"/>
        <v>-0.90623700790060424</v>
      </c>
      <c r="Q94" s="15">
        <f t="shared" si="9"/>
        <v>-0.69835007488498857</v>
      </c>
      <c r="R94" s="15">
        <f t="shared" si="9"/>
        <v>-1.0363126727376457</v>
      </c>
    </row>
    <row r="95" spans="1:18" ht="14.25" customHeight="1" x14ac:dyDescent="0.2">
      <c r="A95" s="5">
        <v>92</v>
      </c>
      <c r="B95" s="15">
        <f t="shared" si="7"/>
        <v>-1.4020482053447607</v>
      </c>
      <c r="C95" s="15">
        <f t="shared" si="9"/>
        <v>-1.1481316230745253</v>
      </c>
      <c r="D95" s="15">
        <f t="shared" si="9"/>
        <v>-1.5691410920596645</v>
      </c>
      <c r="E95" s="15">
        <f t="shared" si="9"/>
        <v>-1.5857933029287019</v>
      </c>
      <c r="F95" s="15">
        <f t="shared" si="9"/>
        <v>-1.4315077145804636</v>
      </c>
      <c r="G95" s="15">
        <f t="shared" si="9"/>
        <v>-1.6869037110490539</v>
      </c>
      <c r="H95" s="15">
        <f t="shared" si="9"/>
        <v>-2.8143570417217956</v>
      </c>
      <c r="I95" s="15">
        <f t="shared" si="9"/>
        <v>-2.9906197684825857</v>
      </c>
      <c r="J95" s="15">
        <f t="shared" si="9"/>
        <v>-0.45577833148783031</v>
      </c>
      <c r="K95" s="15">
        <f t="shared" si="9"/>
        <v>0</v>
      </c>
      <c r="L95" s="15">
        <f t="shared" si="9"/>
        <v>-2.6375654395671715</v>
      </c>
      <c r="M95" s="15">
        <f t="shared" si="9"/>
        <v>-1.9664696392376739</v>
      </c>
      <c r="N95" s="15">
        <f t="shared" si="9"/>
        <v>-0.28638614427410536</v>
      </c>
      <c r="O95" s="15">
        <f t="shared" si="9"/>
        <v>-0.74518555671621967</v>
      </c>
      <c r="P95" s="15">
        <f t="shared" si="9"/>
        <v>-0.90843267109160319</v>
      </c>
      <c r="Q95" s="15">
        <f t="shared" si="9"/>
        <v>-0.70004206223541521</v>
      </c>
      <c r="R95" s="15">
        <f t="shared" si="9"/>
        <v>-1.0388234878666449</v>
      </c>
    </row>
    <row r="96" spans="1:18" ht="14.25" customHeight="1" x14ac:dyDescent="0.2">
      <c r="A96" s="5">
        <v>93</v>
      </c>
      <c r="B96" s="15">
        <f t="shared" si="7"/>
        <v>-1.4054002916406527</v>
      </c>
      <c r="C96" s="15">
        <f t="shared" si="9"/>
        <v>-1.1508766330284748</v>
      </c>
      <c r="D96" s="15">
        <f t="shared" si="9"/>
        <v>-1.5728926723055956</v>
      </c>
      <c r="E96" s="15">
        <f t="shared" si="9"/>
        <v>-1.5895846961051996</v>
      </c>
      <c r="F96" s="15">
        <f t="shared" si="9"/>
        <v>-1.4349302341302312</v>
      </c>
      <c r="G96" s="15">
        <f t="shared" si="9"/>
        <v>-1.6909368439975083</v>
      </c>
      <c r="H96" s="15">
        <f t="shared" si="9"/>
        <v>-2.8210857459384835</v>
      </c>
      <c r="I96" s="15">
        <f t="shared" si="9"/>
        <v>-2.9977698903570968</v>
      </c>
      <c r="J96" s="15">
        <f t="shared" si="9"/>
        <v>-0.45686802889846195</v>
      </c>
      <c r="K96" s="15">
        <f t="shared" si="9"/>
        <v>0</v>
      </c>
      <c r="L96" s="15">
        <f t="shared" si="9"/>
        <v>-2.6438714616645487</v>
      </c>
      <c r="M96" s="15">
        <f t="shared" si="9"/>
        <v>-1.9711711722547616</v>
      </c>
      <c r="N96" s="15">
        <f t="shared" si="9"/>
        <v>-0.2870708504531761</v>
      </c>
      <c r="O96" s="15">
        <f t="shared" si="9"/>
        <v>-0.74696718325590838</v>
      </c>
      <c r="P96" s="15">
        <f t="shared" si="9"/>
        <v>-0.91060459691833184</v>
      </c>
      <c r="Q96" s="15">
        <f t="shared" si="9"/>
        <v>-0.70171575747244197</v>
      </c>
      <c r="R96" s="15">
        <f t="shared" si="9"/>
        <v>-1.0413071585166653</v>
      </c>
    </row>
    <row r="97" spans="1:18" ht="14.25" customHeight="1" x14ac:dyDescent="0.2">
      <c r="A97" s="5">
        <v>94</v>
      </c>
      <c r="B97" s="15">
        <f t="shared" si="7"/>
        <v>-1.4087165260590178</v>
      </c>
      <c r="C97" s="15">
        <f t="shared" si="9"/>
        <v>-1.1535922840244524</v>
      </c>
      <c r="D97" s="15">
        <f t="shared" si="9"/>
        <v>-1.5766041279295337</v>
      </c>
      <c r="E97" s="15">
        <f t="shared" si="9"/>
        <v>-1.5933355388447983</v>
      </c>
      <c r="F97" s="15">
        <f t="shared" si="9"/>
        <v>-1.4383161484911995</v>
      </c>
      <c r="G97" s="15">
        <f t="shared" si="9"/>
        <v>-1.6949268410073992</v>
      </c>
      <c r="H97" s="15">
        <f t="shared" si="9"/>
        <v>-2.8277424840247685</v>
      </c>
      <c r="I97" s="15">
        <f t="shared" si="9"/>
        <v>-3.0048435388740864</v>
      </c>
      <c r="J97" s="15">
        <f t="shared" si="9"/>
        <v>-0.45794607156793871</v>
      </c>
      <c r="K97" s="15">
        <f t="shared" si="9"/>
        <v>0</v>
      </c>
      <c r="L97" s="15">
        <f t="shared" si="9"/>
        <v>-2.6501100383825524</v>
      </c>
      <c r="M97" s="15">
        <f t="shared" si="9"/>
        <v>-1.9758224205324242</v>
      </c>
      <c r="N97" s="15">
        <f t="shared" si="9"/>
        <v>-0.28774823343113948</v>
      </c>
      <c r="O97" s="15">
        <f t="shared" si="9"/>
        <v>-0.74872975460105207</v>
      </c>
      <c r="P97" s="15">
        <f t="shared" si="9"/>
        <v>-0.91275329314657638</v>
      </c>
      <c r="Q97" s="15">
        <f t="shared" si="9"/>
        <v>-0.7033715518825332</v>
      </c>
      <c r="R97" s="15">
        <f t="shared" si="9"/>
        <v>-1.0437642653350592</v>
      </c>
    </row>
    <row r="98" spans="1:18" ht="14.25" customHeight="1" x14ac:dyDescent="0.2">
      <c r="A98" s="5">
        <v>95</v>
      </c>
      <c r="B98" s="15">
        <f t="shared" si="7"/>
        <v>-1.4119976673912213</v>
      </c>
      <c r="C98" s="15">
        <f t="shared" si="9"/>
        <v>-1.1562791974336482</v>
      </c>
      <c r="D98" s="15">
        <f t="shared" si="9"/>
        <v>-1.5802763081538578</v>
      </c>
      <c r="E98" s="15">
        <f t="shared" si="9"/>
        <v>-1.5970466893820878</v>
      </c>
      <c r="F98" s="15">
        <f t="shared" si="9"/>
        <v>-1.4416662323982814</v>
      </c>
      <c r="G98" s="15">
        <f t="shared" si="9"/>
        <v>-1.6988746150344767</v>
      </c>
      <c r="H98" s="15">
        <f t="shared" si="9"/>
        <v>-2.834328779116456</v>
      </c>
      <c r="I98" s="15">
        <f t="shared" si="9"/>
        <v>-3.0118423325631101</v>
      </c>
      <c r="J98" s="15">
        <f t="shared" si="9"/>
        <v>-0.4590127061644288</v>
      </c>
      <c r="K98" s="15">
        <f t="shared" si="9"/>
        <v>0</v>
      </c>
      <c r="L98" s="15">
        <f t="shared" si="9"/>
        <v>-2.656282597177011</v>
      </c>
      <c r="M98" s="15">
        <f t="shared" si="9"/>
        <v>-1.980424448328066</v>
      </c>
      <c r="N98" s="15">
        <f t="shared" si="9"/>
        <v>-0.2884184482007644</v>
      </c>
      <c r="O98" s="15">
        <f t="shared" si="9"/>
        <v>-0.75047367404760312</v>
      </c>
      <c r="P98" s="15">
        <f t="shared" si="9"/>
        <v>-0.91487925142196236</v>
      </c>
      <c r="Q98" s="15">
        <f t="shared" si="9"/>
        <v>-0.70500982432988957</v>
      </c>
      <c r="R98" s="15">
        <f t="shared" si="9"/>
        <v>-1.0461953705352296</v>
      </c>
    </row>
    <row r="99" spans="1:18" ht="14.25" customHeight="1" x14ac:dyDescent="0.2">
      <c r="A99" s="5">
        <v>96</v>
      </c>
      <c r="B99" s="15">
        <f t="shared" si="7"/>
        <v>-1.4152444505913659</v>
      </c>
      <c r="C99" s="15">
        <f t="shared" si="9"/>
        <v>-1.1589379751070139</v>
      </c>
      <c r="D99" s="15">
        <f t="shared" si="9"/>
        <v>-1.5839100355228128</v>
      </c>
      <c r="E99" s="15">
        <f t="shared" si="9"/>
        <v>-1.6007189789904075</v>
      </c>
      <c r="F99" s="15">
        <f t="shared" si="9"/>
        <v>-1.4449812362482626</v>
      </c>
      <c r="G99" s="15">
        <f t="shared" si="9"/>
        <v>-1.7027810503541871</v>
      </c>
      <c r="H99" s="15">
        <f t="shared" si="9"/>
        <v>-2.8408461065003769</v>
      </c>
      <c r="I99" s="15">
        <f t="shared" si="9"/>
        <v>-3.0187678391079733</v>
      </c>
      <c r="J99" s="15">
        <f t="shared" si="9"/>
        <v>-0.46006817160707431</v>
      </c>
      <c r="K99" s="15">
        <f t="shared" si="9"/>
        <v>0</v>
      </c>
      <c r="L99" s="15">
        <f t="shared" si="9"/>
        <v>-2.6623905206605425</v>
      </c>
      <c r="M99" s="15">
        <f t="shared" si="9"/>
        <v>-1.9849782864656791</v>
      </c>
      <c r="N99" s="15">
        <f t="shared" si="9"/>
        <v>-0.28908164488575622</v>
      </c>
      <c r="O99" s="15">
        <f t="shared" si="9"/>
        <v>-0.75219933222206059</v>
      </c>
      <c r="P99" s="15">
        <f t="shared" si="9"/>
        <v>-0.91698294794517665</v>
      </c>
      <c r="Q99" s="15">
        <f t="shared" si="9"/>
        <v>-0.70663094177677621</v>
      </c>
      <c r="R99" s="15">
        <f t="shared" si="9"/>
        <v>-1.0486010186687698</v>
      </c>
    </row>
    <row r="100" spans="1:18" ht="14.25" customHeight="1" x14ac:dyDescent="0.2">
      <c r="A100" s="5">
        <v>97</v>
      </c>
      <c r="B100" s="15">
        <f t="shared" si="7"/>
        <v>-1.418457587764409</v>
      </c>
      <c r="C100" s="15">
        <f t="shared" si="9"/>
        <v>-1.1615692001844282</v>
      </c>
      <c r="D100" s="15">
        <f t="shared" si="9"/>
        <v>-1.5875061070083911</v>
      </c>
      <c r="E100" s="15">
        <f t="shared" si="9"/>
        <v>-1.6043532130994622</v>
      </c>
      <c r="F100" s="15">
        <f t="shared" si="9"/>
        <v>-1.4482618871086839</v>
      </c>
      <c r="G100" s="15">
        <f t="shared" si="9"/>
        <v>-1.7066470037505495</v>
      </c>
      <c r="H100" s="15">
        <f t="shared" si="9"/>
        <v>-2.8472958955978553</v>
      </c>
      <c r="I100" s="15">
        <f t="shared" si="9"/>
        <v>-3.0256215774544275</v>
      </c>
      <c r="J100" s="15">
        <f t="shared" si="9"/>
        <v>-0.46111269938720933</v>
      </c>
      <c r="K100" s="15">
        <f t="shared" si="9"/>
        <v>0</v>
      </c>
      <c r="L100" s="15">
        <f t="shared" si="9"/>
        <v>-2.6684351484614268</v>
      </c>
      <c r="M100" s="15">
        <f t="shared" si="9"/>
        <v>-1.9894849337217493</v>
      </c>
      <c r="N100" s="15">
        <f t="shared" ref="C100:R103" si="10">LOG10($A100)*N$13</f>
        <v>-0.28973796894259229</v>
      </c>
      <c r="O100" s="15">
        <f t="shared" si="10"/>
        <v>-0.75390710760665292</v>
      </c>
      <c r="P100" s="15">
        <f t="shared" si="10"/>
        <v>-0.91906484411220146</v>
      </c>
      <c r="Q100" s="15">
        <f t="shared" si="10"/>
        <v>-0.70823525977689028</v>
      </c>
      <c r="R100" s="15">
        <f t="shared" si="10"/>
        <v>-1.0509817373575923</v>
      </c>
    </row>
    <row r="101" spans="1:18" ht="14.25" customHeight="1" x14ac:dyDescent="0.2">
      <c r="A101" s="5">
        <v>98</v>
      </c>
      <c r="B101" s="15">
        <f t="shared" si="7"/>
        <v>-1.4216377691036062</v>
      </c>
      <c r="C101" s="15">
        <f t="shared" si="10"/>
        <v>-1.164173437862366</v>
      </c>
      <c r="D101" s="15">
        <f t="shared" si="10"/>
        <v>-1.5910652950594955</v>
      </c>
      <c r="E101" s="15">
        <f t="shared" si="10"/>
        <v>-1.6079501723556224</v>
      </c>
      <c r="F101" s="15">
        <f t="shared" si="10"/>
        <v>-1.4515088896749802</v>
      </c>
      <c r="G101" s="15">
        <f t="shared" si="10"/>
        <v>-1.7104733056440578</v>
      </c>
      <c r="H101" s="15">
        <f t="shared" si="10"/>
        <v>-2.8536795318464545</v>
      </c>
      <c r="I101" s="15">
        <f t="shared" si="10"/>
        <v>-3.0324050198097665</v>
      </c>
      <c r="J101" s="15">
        <f t="shared" si="10"/>
        <v>-0.46214651387310401</v>
      </c>
      <c r="K101" s="15">
        <f t="shared" si="10"/>
        <v>0</v>
      </c>
      <c r="L101" s="15">
        <f t="shared" si="10"/>
        <v>-2.6744177789871442</v>
      </c>
      <c r="M101" s="15">
        <f t="shared" si="10"/>
        <v>-1.9939453581400834</v>
      </c>
      <c r="N101" s="15">
        <f t="shared" si="10"/>
        <v>-0.29038756135200672</v>
      </c>
      <c r="O101" s="15">
        <f t="shared" si="10"/>
        <v>-0.75559736703758695</v>
      </c>
      <c r="P101" s="15">
        <f t="shared" si="10"/>
        <v>-0.92112538712171388</v>
      </c>
      <c r="Q101" s="15">
        <f t="shared" si="10"/>
        <v>-0.70982312294342575</v>
      </c>
      <c r="R101" s="15">
        <f t="shared" si="10"/>
        <v>-1.0533380379885118</v>
      </c>
    </row>
    <row r="102" spans="1:18" ht="14.25" customHeight="1" x14ac:dyDescent="0.2">
      <c r="A102" s="5">
        <v>99</v>
      </c>
      <c r="B102" s="15">
        <f t="shared" si="7"/>
        <v>-1.4247856637803646</v>
      </c>
      <c r="C102" s="15">
        <f t="shared" si="10"/>
        <v>-1.1667512361225945</v>
      </c>
      <c r="D102" s="15">
        <f t="shared" si="10"/>
        <v>-1.5945883485978458</v>
      </c>
      <c r="E102" s="15">
        <f t="shared" si="10"/>
        <v>-1.6115106136283965</v>
      </c>
      <c r="F102" s="15">
        <f t="shared" si="10"/>
        <v>-1.4547229271790318</v>
      </c>
      <c r="G102" s="15">
        <f t="shared" si="10"/>
        <v>-1.7142607611623288</v>
      </c>
      <c r="H102" s="15">
        <f t="shared" si="10"/>
        <v>-2.8599983584861954</v>
      </c>
      <c r="I102" s="15">
        <f t="shared" si="10"/>
        <v>-3.0391195935409172</v>
      </c>
      <c r="J102" s="15">
        <f t="shared" si="10"/>
        <v>-0.46316983259923833</v>
      </c>
      <c r="K102" s="15">
        <f t="shared" si="10"/>
        <v>0</v>
      </c>
      <c r="L102" s="15">
        <f t="shared" si="10"/>
        <v>-2.6803396710983884</v>
      </c>
      <c r="M102" s="15">
        <f t="shared" si="10"/>
        <v>-1.9983604982798915</v>
      </c>
      <c r="N102" s="15">
        <f t="shared" si="10"/>
        <v>-0.29103055880075435</v>
      </c>
      <c r="O102" s="15">
        <f t="shared" si="10"/>
        <v>-0.75727046617800309</v>
      </c>
      <c r="P102" s="15">
        <f t="shared" si="10"/>
        <v>-0.92316501055165112</v>
      </c>
      <c r="Q102" s="15">
        <f t="shared" si="10"/>
        <v>-0.71139486539337671</v>
      </c>
      <c r="R102" s="15">
        <f t="shared" si="10"/>
        <v>-1.0556704163725652</v>
      </c>
    </row>
    <row r="103" spans="1:18" ht="14.25" customHeight="1" x14ac:dyDescent="0.2">
      <c r="A103" s="5">
        <v>100</v>
      </c>
      <c r="B103" s="15">
        <f t="shared" si="7"/>
        <v>-1.4279019207893797</v>
      </c>
      <c r="C103" s="15">
        <f t="shared" si="10"/>
        <v>-1.1693031264242537</v>
      </c>
      <c r="D103" s="15">
        <f t="shared" si="10"/>
        <v>-1.5980759939638354</v>
      </c>
      <c r="E103" s="15">
        <f t="shared" si="10"/>
        <v>-1.6150352709663272</v>
      </c>
      <c r="F103" s="15">
        <f t="shared" si="10"/>
        <v>-1.4579046622520593</v>
      </c>
      <c r="G103" s="15">
        <f t="shared" si="10"/>
        <v>-1.7180101511569459</v>
      </c>
      <c r="H103" s="15">
        <f t="shared" si="10"/>
        <v>-2.8662536782560175</v>
      </c>
      <c r="I103" s="15">
        <f t="shared" si="10"/>
        <v>-3.0457666829771477</v>
      </c>
      <c r="J103" s="15">
        <f t="shared" si="10"/>
        <v>-0.46418286654103991</v>
      </c>
      <c r="K103" s="15">
        <f t="shared" si="10"/>
        <v>0</v>
      </c>
      <c r="L103" s="15">
        <f t="shared" si="10"/>
        <v>-2.6862020456989582</v>
      </c>
      <c r="M103" s="15">
        <f t="shared" si="10"/>
        <v>-2.0027312644011483</v>
      </c>
      <c r="N103" s="15">
        <f t="shared" si="10"/>
        <v>-0.29166709385424028</v>
      </c>
      <c r="O103" s="15">
        <f t="shared" si="10"/>
        <v>-0.75892674996716336</v>
      </c>
      <c r="P103" s="15">
        <f t="shared" si="10"/>
        <v>-0.92518413490680229</v>
      </c>
      <c r="Q103" s="15">
        <f t="shared" si="10"/>
        <v>-0.71295081116951364</v>
      </c>
      <c r="R103" s="15">
        <f t="shared" si="10"/>
        <v>-1.0579793533712027</v>
      </c>
    </row>
    <row r="104" spans="1:18" ht="14.25" customHeight="1" x14ac:dyDescent="0.15"/>
    <row r="105" spans="1:18" ht="14.25" customHeight="1" x14ac:dyDescent="0.15"/>
    <row r="106" spans="1:18" ht="14.25" customHeight="1" x14ac:dyDescent="0.15"/>
    <row r="107" spans="1:18" ht="14.25" customHeight="1" x14ac:dyDescent="0.15"/>
    <row r="108" spans="1:18" ht="14.25" customHeight="1" x14ac:dyDescent="0.15"/>
    <row r="109" spans="1:18" ht="14.25" customHeight="1" x14ac:dyDescent="0.15"/>
    <row r="110" spans="1:18" ht="14.25" customHeight="1" x14ac:dyDescent="0.15"/>
    <row r="111" spans="1:18" ht="14.25" customHeight="1" x14ac:dyDescent="0.15"/>
    <row r="112" spans="1:18" ht="14.25" customHeight="1" x14ac:dyDescent="0.15"/>
    <row r="113" ht="14.25" customHeight="1" x14ac:dyDescent="0.15"/>
    <row r="114" ht="14.25" customHeight="1" x14ac:dyDescent="0.15"/>
    <row r="115" ht="14.25" customHeight="1" x14ac:dyDescent="0.15"/>
    <row r="116" ht="14.25" customHeight="1" x14ac:dyDescent="0.15"/>
    <row r="117" ht="14.25" customHeight="1" x14ac:dyDescent="0.15"/>
    <row r="118" ht="14.25" customHeight="1" x14ac:dyDescent="0.15"/>
    <row r="119" ht="14.25" customHeight="1" x14ac:dyDescent="0.15"/>
    <row r="120" ht="14.25" customHeight="1" x14ac:dyDescent="0.15"/>
    <row r="121" ht="14.25" customHeight="1" x14ac:dyDescent="0.15"/>
    <row r="122" ht="14.25" customHeight="1" x14ac:dyDescent="0.15"/>
    <row r="123" ht="14.25" customHeight="1" x14ac:dyDescent="0.15"/>
    <row r="124" ht="14.25" customHeight="1" x14ac:dyDescent="0.15"/>
    <row r="125" ht="14.25" customHeight="1" x14ac:dyDescent="0.15"/>
    <row r="126" ht="14.25" customHeight="1" x14ac:dyDescent="0.15"/>
    <row r="127" ht="14.25" customHeight="1" x14ac:dyDescent="0.15"/>
    <row r="128" ht="14.25" customHeight="1" x14ac:dyDescent="0.15"/>
    <row r="129" ht="14.25" customHeight="1" x14ac:dyDescent="0.15"/>
    <row r="130" ht="14.25" customHeight="1" x14ac:dyDescent="0.15"/>
    <row r="131" ht="14.25" customHeight="1" x14ac:dyDescent="0.15"/>
    <row r="132" ht="14.25" customHeight="1" x14ac:dyDescent="0.15"/>
    <row r="133" ht="14.25" customHeight="1" x14ac:dyDescent="0.15"/>
    <row r="134" ht="14.25" customHeight="1" x14ac:dyDescent="0.15"/>
    <row r="135" ht="14.25" customHeight="1" x14ac:dyDescent="0.15"/>
    <row r="136" ht="14.25" customHeight="1" x14ac:dyDescent="0.15"/>
    <row r="137" ht="14.25" customHeight="1" x14ac:dyDescent="0.15"/>
    <row r="138" ht="14.25" customHeight="1" x14ac:dyDescent="0.15"/>
    <row r="139" ht="14.25" customHeight="1" x14ac:dyDescent="0.15"/>
    <row r="140" ht="14.25" customHeight="1" x14ac:dyDescent="0.15"/>
    <row r="141" ht="14.25" customHeight="1" x14ac:dyDescent="0.15"/>
    <row r="142" ht="14.25" customHeight="1" x14ac:dyDescent="0.15"/>
    <row r="143" ht="14.25" customHeight="1" x14ac:dyDescent="0.15"/>
    <row r="144" ht="14.25" customHeight="1" x14ac:dyDescent="0.15"/>
    <row r="145" ht="14.25" customHeight="1" x14ac:dyDescent="0.15"/>
    <row r="146" ht="14.25" customHeight="1" x14ac:dyDescent="0.15"/>
    <row r="147" ht="14.25" customHeight="1" x14ac:dyDescent="0.15"/>
    <row r="148" ht="14.25" customHeight="1" x14ac:dyDescent="0.15"/>
    <row r="149" ht="14.25" customHeight="1" x14ac:dyDescent="0.15"/>
    <row r="150" ht="14.25" customHeight="1" x14ac:dyDescent="0.15"/>
    <row r="151" ht="14.25" customHeight="1" x14ac:dyDescent="0.15"/>
    <row r="152" ht="14.25" customHeight="1" x14ac:dyDescent="0.15"/>
    <row r="153" ht="14.25" customHeight="1" x14ac:dyDescent="0.15"/>
    <row r="154" ht="14.25" customHeight="1" x14ac:dyDescent="0.15"/>
    <row r="155" ht="14.25" customHeight="1" x14ac:dyDescent="0.15"/>
    <row r="156" ht="14.25" customHeight="1" x14ac:dyDescent="0.15"/>
    <row r="157" ht="14.25" customHeight="1" x14ac:dyDescent="0.15"/>
    <row r="158" ht="14.25" customHeight="1" x14ac:dyDescent="0.15"/>
    <row r="159" ht="14.25" customHeight="1" x14ac:dyDescent="0.15"/>
    <row r="160" ht="14.25" customHeight="1" x14ac:dyDescent="0.15"/>
    <row r="161" ht="14.25" customHeight="1" x14ac:dyDescent="0.15"/>
    <row r="162" ht="14.25" customHeight="1" x14ac:dyDescent="0.15"/>
    <row r="163" ht="14.25" customHeight="1" x14ac:dyDescent="0.15"/>
    <row r="164" ht="14.25" customHeight="1" x14ac:dyDescent="0.15"/>
    <row r="165" ht="14.25" customHeight="1" x14ac:dyDescent="0.15"/>
    <row r="166" ht="14.25" customHeight="1" x14ac:dyDescent="0.15"/>
    <row r="167" ht="14.25" customHeight="1" x14ac:dyDescent="0.15"/>
    <row r="168" ht="14.25" customHeight="1" x14ac:dyDescent="0.15"/>
    <row r="169" ht="14.25" customHeight="1" x14ac:dyDescent="0.15"/>
    <row r="170" ht="14.25" customHeight="1" x14ac:dyDescent="0.15"/>
    <row r="171" ht="14.25" customHeight="1" x14ac:dyDescent="0.15"/>
    <row r="172" ht="14.25" customHeight="1" x14ac:dyDescent="0.15"/>
    <row r="173" ht="14.25" customHeight="1" x14ac:dyDescent="0.15"/>
    <row r="174" ht="14.25" customHeight="1" x14ac:dyDescent="0.15"/>
    <row r="175" ht="14.25" customHeight="1" x14ac:dyDescent="0.15"/>
    <row r="176" ht="14.25" customHeight="1" x14ac:dyDescent="0.15"/>
    <row r="177" ht="14.25" customHeight="1" x14ac:dyDescent="0.15"/>
    <row r="178" ht="14.25" customHeight="1" x14ac:dyDescent="0.15"/>
    <row r="179" ht="14.25" customHeight="1" x14ac:dyDescent="0.15"/>
    <row r="180" ht="14.25" customHeight="1" x14ac:dyDescent="0.15"/>
    <row r="181" ht="14.25" customHeight="1" x14ac:dyDescent="0.15"/>
    <row r="182" ht="14.25" customHeight="1" x14ac:dyDescent="0.15"/>
    <row r="183" ht="14.25" customHeight="1" x14ac:dyDescent="0.15"/>
    <row r="184" ht="14.25" customHeight="1" x14ac:dyDescent="0.15"/>
    <row r="185" ht="14.25" customHeight="1" x14ac:dyDescent="0.15"/>
    <row r="186" ht="14.25" customHeight="1" x14ac:dyDescent="0.15"/>
    <row r="187" ht="14.25" customHeight="1" x14ac:dyDescent="0.15"/>
    <row r="188" ht="14.25" customHeight="1" x14ac:dyDescent="0.15"/>
    <row r="189" ht="14.25" customHeight="1" x14ac:dyDescent="0.15"/>
    <row r="190" ht="14.25" customHeight="1" x14ac:dyDescent="0.15"/>
    <row r="191" ht="14.25" customHeight="1" x14ac:dyDescent="0.15"/>
    <row r="192" ht="14.25" customHeight="1" x14ac:dyDescent="0.15"/>
    <row r="193" ht="14.25" customHeight="1" x14ac:dyDescent="0.15"/>
    <row r="194" ht="14.25" customHeight="1" x14ac:dyDescent="0.15"/>
    <row r="195" ht="14.25" customHeight="1" x14ac:dyDescent="0.15"/>
    <row r="196" ht="14.25" customHeight="1" x14ac:dyDescent="0.15"/>
    <row r="197" ht="14.25" customHeight="1" x14ac:dyDescent="0.15"/>
    <row r="198" ht="14.25" customHeight="1" x14ac:dyDescent="0.15"/>
    <row r="199" ht="14.25" customHeight="1" x14ac:dyDescent="0.15"/>
    <row r="200" ht="14.25" customHeight="1" x14ac:dyDescent="0.15"/>
    <row r="201" ht="14.25" customHeight="1" x14ac:dyDescent="0.15"/>
    <row r="202" ht="14.25" customHeight="1" x14ac:dyDescent="0.15"/>
    <row r="203" ht="14.25" customHeight="1" x14ac:dyDescent="0.15"/>
    <row r="204" ht="14.25" customHeight="1" x14ac:dyDescent="0.15"/>
    <row r="205" ht="14.25" customHeight="1" x14ac:dyDescent="0.15"/>
    <row r="206" ht="14.25" customHeight="1" x14ac:dyDescent="0.15"/>
    <row r="207" ht="14.25" customHeight="1" x14ac:dyDescent="0.15"/>
    <row r="208" ht="14.25" customHeight="1" x14ac:dyDescent="0.15"/>
    <row r="209" ht="14.25" customHeight="1" x14ac:dyDescent="0.15"/>
    <row r="210" ht="14.25" customHeight="1" x14ac:dyDescent="0.15"/>
    <row r="211" ht="14.25" customHeight="1" x14ac:dyDescent="0.15"/>
    <row r="212" ht="14.25" customHeight="1" x14ac:dyDescent="0.15"/>
    <row r="213" ht="14.25" customHeight="1" x14ac:dyDescent="0.15"/>
    <row r="214" ht="14.25" customHeight="1" x14ac:dyDescent="0.15"/>
    <row r="215" ht="14.25" customHeight="1" x14ac:dyDescent="0.15"/>
    <row r="216" ht="14.25" customHeight="1" x14ac:dyDescent="0.15"/>
    <row r="217" ht="14.25" customHeight="1" x14ac:dyDescent="0.15"/>
    <row r="218" ht="14.25" customHeight="1" x14ac:dyDescent="0.15"/>
    <row r="219" ht="14.25" customHeight="1" x14ac:dyDescent="0.15"/>
    <row r="220" ht="14.25" customHeight="1" x14ac:dyDescent="0.15"/>
    <row r="221" ht="14.25" customHeight="1" x14ac:dyDescent="0.15"/>
    <row r="222" ht="14.25" customHeight="1" x14ac:dyDescent="0.15"/>
    <row r="223" ht="14.25" customHeight="1" x14ac:dyDescent="0.15"/>
    <row r="224" ht="14.25" customHeight="1" x14ac:dyDescent="0.15"/>
    <row r="225" ht="14.25" customHeight="1" x14ac:dyDescent="0.15"/>
    <row r="226" ht="14.25" customHeight="1" x14ac:dyDescent="0.15"/>
    <row r="227" ht="14.25" customHeight="1" x14ac:dyDescent="0.15"/>
    <row r="228" ht="14.25" customHeight="1" x14ac:dyDescent="0.15"/>
    <row r="229" ht="14.25" customHeight="1" x14ac:dyDescent="0.15"/>
    <row r="230" ht="14.25" customHeight="1" x14ac:dyDescent="0.15"/>
    <row r="231" ht="14.25" customHeight="1" x14ac:dyDescent="0.15"/>
    <row r="232" ht="14.25" customHeight="1" x14ac:dyDescent="0.15"/>
    <row r="233" ht="14.25" customHeight="1" x14ac:dyDescent="0.15"/>
    <row r="234" ht="14.25" customHeight="1" x14ac:dyDescent="0.15"/>
    <row r="235" ht="14.25" customHeight="1" x14ac:dyDescent="0.15"/>
    <row r="236" ht="14.25" customHeight="1" x14ac:dyDescent="0.15"/>
    <row r="237" ht="14.25" customHeight="1" x14ac:dyDescent="0.15"/>
    <row r="238" ht="14.25" customHeight="1" x14ac:dyDescent="0.15"/>
    <row r="239" ht="14.25" customHeight="1" x14ac:dyDescent="0.15"/>
    <row r="240" ht="14.25" customHeight="1" x14ac:dyDescent="0.15"/>
    <row r="241" ht="14.25" customHeight="1" x14ac:dyDescent="0.15"/>
    <row r="242" ht="14.25" customHeight="1" x14ac:dyDescent="0.15"/>
    <row r="243" ht="14.25" customHeight="1" x14ac:dyDescent="0.15"/>
    <row r="244" ht="14.25" customHeight="1" x14ac:dyDescent="0.15"/>
    <row r="245" ht="14.25" customHeight="1" x14ac:dyDescent="0.15"/>
    <row r="246" ht="14.25" customHeight="1" x14ac:dyDescent="0.15"/>
    <row r="247" ht="14.25" customHeight="1" x14ac:dyDescent="0.15"/>
    <row r="248" ht="14.25" customHeight="1" x14ac:dyDescent="0.15"/>
    <row r="249" ht="14.25" customHeight="1" x14ac:dyDescent="0.15"/>
    <row r="250" ht="14.25" customHeight="1" x14ac:dyDescent="0.15"/>
    <row r="251" ht="14.25" customHeight="1" x14ac:dyDescent="0.15"/>
    <row r="252" ht="14.25" customHeight="1" x14ac:dyDescent="0.15"/>
    <row r="253" ht="14.25" customHeight="1" x14ac:dyDescent="0.15"/>
    <row r="254" ht="14.25" customHeight="1" x14ac:dyDescent="0.15"/>
    <row r="255" ht="14.25" customHeight="1" x14ac:dyDescent="0.15"/>
    <row r="256" ht="14.25" customHeight="1" x14ac:dyDescent="0.15"/>
    <row r="257" ht="14.25" customHeight="1" x14ac:dyDescent="0.15"/>
    <row r="258" ht="14.25" customHeight="1" x14ac:dyDescent="0.15"/>
    <row r="259" ht="14.25" customHeight="1" x14ac:dyDescent="0.15"/>
    <row r="260" ht="14.25" customHeight="1" x14ac:dyDescent="0.15"/>
    <row r="261" ht="14.25" customHeight="1" x14ac:dyDescent="0.15"/>
    <row r="262" ht="14.25" customHeight="1" x14ac:dyDescent="0.15"/>
    <row r="263" ht="14.25" customHeight="1" x14ac:dyDescent="0.15"/>
    <row r="264" ht="14.25" customHeight="1" x14ac:dyDescent="0.15"/>
    <row r="265" ht="14.25" customHeight="1" x14ac:dyDescent="0.15"/>
    <row r="266" ht="14.25" customHeight="1" x14ac:dyDescent="0.15"/>
    <row r="267" ht="14.25" customHeight="1" x14ac:dyDescent="0.15"/>
    <row r="268" ht="14.25" customHeight="1" x14ac:dyDescent="0.15"/>
    <row r="269" ht="14.25" customHeight="1" x14ac:dyDescent="0.15"/>
    <row r="270" ht="14.25" customHeight="1" x14ac:dyDescent="0.15"/>
    <row r="271" ht="14.25" customHeight="1" x14ac:dyDescent="0.15"/>
    <row r="272" ht="14.25" customHeight="1" x14ac:dyDescent="0.15"/>
    <row r="273" ht="14.25" customHeight="1" x14ac:dyDescent="0.15"/>
    <row r="274" ht="14.25" customHeight="1" x14ac:dyDescent="0.15"/>
    <row r="275" ht="14.25" customHeight="1" x14ac:dyDescent="0.15"/>
    <row r="276" ht="14.25" customHeight="1" x14ac:dyDescent="0.15"/>
    <row r="277" ht="14.25" customHeight="1" x14ac:dyDescent="0.15"/>
    <row r="278" ht="14.25" customHeight="1" x14ac:dyDescent="0.15"/>
    <row r="279" ht="14.25" customHeight="1" x14ac:dyDescent="0.15"/>
    <row r="280" ht="14.25" customHeight="1" x14ac:dyDescent="0.15"/>
    <row r="281" ht="14.25" customHeight="1" x14ac:dyDescent="0.15"/>
    <row r="282" ht="14.25" customHeight="1" x14ac:dyDescent="0.15"/>
    <row r="283" ht="14.25" customHeight="1" x14ac:dyDescent="0.15"/>
    <row r="284" ht="14.25" customHeight="1" x14ac:dyDescent="0.15"/>
    <row r="285" ht="14.25" customHeight="1" x14ac:dyDescent="0.15"/>
    <row r="286" ht="14.25" customHeight="1" x14ac:dyDescent="0.15"/>
    <row r="287" ht="14.25" customHeight="1" x14ac:dyDescent="0.15"/>
    <row r="288" ht="14.25" customHeight="1" x14ac:dyDescent="0.15"/>
    <row r="289" ht="14.25" customHeight="1" x14ac:dyDescent="0.15"/>
    <row r="290" ht="14.25" customHeight="1" x14ac:dyDescent="0.15"/>
    <row r="291" ht="14.25" customHeight="1" x14ac:dyDescent="0.15"/>
    <row r="292" ht="14.25" customHeight="1" x14ac:dyDescent="0.15"/>
    <row r="293" ht="14.25" customHeight="1" x14ac:dyDescent="0.15"/>
    <row r="294" ht="14.25" customHeight="1" x14ac:dyDescent="0.15"/>
    <row r="295" ht="14.25" customHeight="1" x14ac:dyDescent="0.15"/>
    <row r="296" ht="14.25" customHeight="1" x14ac:dyDescent="0.15"/>
    <row r="297" ht="14.25" customHeight="1" x14ac:dyDescent="0.15"/>
    <row r="298" ht="14.25" customHeight="1" x14ac:dyDescent="0.15"/>
    <row r="299" ht="14.25" customHeight="1" x14ac:dyDescent="0.15"/>
    <row r="300" ht="14.25" customHeight="1" x14ac:dyDescent="0.15"/>
    <row r="301" ht="14.25" customHeight="1" x14ac:dyDescent="0.15"/>
    <row r="302" ht="14.25" customHeight="1" x14ac:dyDescent="0.15"/>
    <row r="303" ht="14.2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10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N1" sqref="N1:N1048576"/>
    </sheetView>
  </sheetViews>
  <sheetFormatPr baseColWidth="10" defaultColWidth="17.83203125" defaultRowHeight="15" customHeight="1" x14ac:dyDescent="0.15"/>
  <cols>
    <col min="1" max="1" width="15.6640625" bestFit="1" customWidth="1"/>
    <col min="2" max="2" width="14.5" bestFit="1" customWidth="1"/>
    <col min="3" max="3" width="13.6640625" bestFit="1" customWidth="1"/>
    <col min="4" max="4" width="26.6640625" bestFit="1" customWidth="1"/>
    <col min="5" max="5" width="22.5" bestFit="1" customWidth="1"/>
    <col min="6" max="6" width="15.5" bestFit="1" customWidth="1"/>
    <col min="7" max="7" width="13.6640625" bestFit="1" customWidth="1"/>
    <col min="8" max="8" width="24.5" bestFit="1" customWidth="1"/>
    <col min="9" max="9" width="22.33203125" bestFit="1" customWidth="1"/>
    <col min="10" max="10" width="27.33203125" bestFit="1" customWidth="1"/>
    <col min="11" max="11" width="15" bestFit="1" customWidth="1"/>
    <col min="12" max="12" width="13.6640625" bestFit="1" customWidth="1"/>
    <col min="13" max="13" width="18.33203125" bestFit="1" customWidth="1"/>
    <col min="14" max="14" width="16.5" bestFit="1" customWidth="1"/>
    <col min="15" max="15" width="25" bestFit="1" customWidth="1"/>
    <col min="16" max="16" width="16.33203125" bestFit="1" customWidth="1"/>
    <col min="17" max="17" width="25" bestFit="1" customWidth="1"/>
    <col min="18" max="18" width="17.33203125" bestFit="1" customWidth="1"/>
  </cols>
  <sheetData>
    <row r="1" spans="1:28" ht="14.25" customHeight="1" x14ac:dyDescent="0.15">
      <c r="A1" s="3" t="s">
        <v>80</v>
      </c>
      <c r="B1" s="3" t="s">
        <v>62</v>
      </c>
      <c r="C1" s="3" t="s">
        <v>63</v>
      </c>
      <c r="D1" s="3" t="s">
        <v>64</v>
      </c>
      <c r="E1" s="3" t="s">
        <v>65</v>
      </c>
      <c r="F1" s="3" t="s">
        <v>66</v>
      </c>
      <c r="G1" s="3" t="s">
        <v>67</v>
      </c>
      <c r="H1" s="3" t="s">
        <v>68</v>
      </c>
      <c r="I1" s="3" t="s">
        <v>95</v>
      </c>
      <c r="J1" s="3" t="s">
        <v>70</v>
      </c>
      <c r="K1" s="3" t="s">
        <v>71</v>
      </c>
      <c r="L1" s="3" t="s">
        <v>72</v>
      </c>
      <c r="M1" s="3" t="s">
        <v>73</v>
      </c>
      <c r="N1" s="3" t="s">
        <v>74</v>
      </c>
      <c r="O1" s="3" t="s">
        <v>75</v>
      </c>
      <c r="P1" s="3" t="s">
        <v>76</v>
      </c>
      <c r="Q1" s="3" t="s">
        <v>77</v>
      </c>
      <c r="R1" s="3" t="s">
        <v>78</v>
      </c>
      <c r="S1" s="6"/>
      <c r="T1" s="6"/>
      <c r="U1" s="6"/>
      <c r="V1" s="6"/>
      <c r="W1" s="6"/>
      <c r="X1" s="6"/>
      <c r="Y1" s="6"/>
      <c r="Z1" s="6"/>
      <c r="AA1" s="6"/>
      <c r="AB1" s="6"/>
    </row>
    <row r="2" spans="1:28" ht="14.25" customHeight="1" x14ac:dyDescent="0.2">
      <c r="A2" s="5" t="s">
        <v>14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</row>
    <row r="3" spans="1:28" ht="14.25" customHeight="1" x14ac:dyDescent="0.2">
      <c r="A3" s="5" t="s">
        <v>10</v>
      </c>
      <c r="B3" s="7">
        <v>-6.0209741903070442E-2</v>
      </c>
      <c r="C3" s="7">
        <v>0</v>
      </c>
      <c r="D3" s="7">
        <v>0</v>
      </c>
      <c r="E3" s="8">
        <v>0.20552111099891496</v>
      </c>
      <c r="F3" s="7">
        <v>0</v>
      </c>
      <c r="G3" s="7">
        <v>0</v>
      </c>
      <c r="H3" s="7">
        <v>0</v>
      </c>
      <c r="I3" s="8">
        <v>0.11701107222490574</v>
      </c>
      <c r="J3" s="8">
        <v>6.5907714259789113E-2</v>
      </c>
      <c r="K3" s="7">
        <v>0</v>
      </c>
      <c r="L3" s="8">
        <v>0.19613134015564604</v>
      </c>
      <c r="M3" s="7">
        <v>8.7309139464465599E-2</v>
      </c>
      <c r="N3" s="7">
        <v>0</v>
      </c>
      <c r="O3" s="7">
        <v>0</v>
      </c>
      <c r="P3" s="8">
        <v>4.9139724390946909E-2</v>
      </c>
      <c r="Q3" s="8">
        <v>4.6124566829638787E-2</v>
      </c>
      <c r="R3" s="8">
        <v>6.1180987741787922E-2</v>
      </c>
    </row>
    <row r="4" spans="1:28" ht="14.25" customHeight="1" x14ac:dyDescent="0.2">
      <c r="A4" s="3" t="s">
        <v>92</v>
      </c>
      <c r="B4" s="7">
        <v>0</v>
      </c>
      <c r="C4" s="8">
        <v>0.64613778770921471</v>
      </c>
      <c r="D4" s="7">
        <v>0</v>
      </c>
      <c r="E4" s="8">
        <v>0.60452873294911302</v>
      </c>
      <c r="F4" s="7">
        <v>0</v>
      </c>
      <c r="G4" s="8">
        <v>0.60041094900541103</v>
      </c>
      <c r="H4" s="7">
        <v>0</v>
      </c>
      <c r="I4" s="8">
        <v>0.5749322707934037</v>
      </c>
      <c r="J4" s="8">
        <v>0</v>
      </c>
      <c r="K4" s="7">
        <v>0</v>
      </c>
      <c r="L4" s="8">
        <v>0.65553173381932928</v>
      </c>
      <c r="M4" s="7">
        <v>0</v>
      </c>
      <c r="N4" s="8">
        <v>0.46631856250565262</v>
      </c>
      <c r="O4" s="8">
        <v>0.34743653061295754</v>
      </c>
      <c r="P4" s="8">
        <v>0.50901527106022793</v>
      </c>
      <c r="Q4" s="8">
        <v>0.3836081815382697</v>
      </c>
      <c r="R4" s="8">
        <v>0.40312994456843532</v>
      </c>
    </row>
    <row r="5" spans="1:28" ht="14.25" customHeight="1" x14ac:dyDescent="0.2">
      <c r="A5" s="3" t="s">
        <v>33</v>
      </c>
      <c r="B5" s="7">
        <v>0</v>
      </c>
      <c r="C5" s="8">
        <v>0.64613778770921471</v>
      </c>
      <c r="D5" s="7">
        <v>0</v>
      </c>
      <c r="E5" s="8">
        <v>0.60452873294911302</v>
      </c>
      <c r="F5" s="7">
        <v>0</v>
      </c>
      <c r="G5" s="8">
        <v>0.60041094900541081</v>
      </c>
      <c r="H5" s="7">
        <v>0</v>
      </c>
      <c r="I5" s="8">
        <v>0.5749322707934037</v>
      </c>
      <c r="J5" s="8">
        <v>0</v>
      </c>
      <c r="K5" s="7">
        <v>0</v>
      </c>
      <c r="L5" s="8">
        <v>0.65553173381932928</v>
      </c>
      <c r="M5" s="7">
        <v>0</v>
      </c>
      <c r="N5" s="8">
        <v>0.46631856250565262</v>
      </c>
      <c r="O5" s="8">
        <v>0.34743653061295754</v>
      </c>
      <c r="P5" s="8">
        <v>0.50901527106022793</v>
      </c>
      <c r="Q5" s="8">
        <v>0.3836081815382697</v>
      </c>
      <c r="R5" s="8">
        <v>0.40312994456843532</v>
      </c>
    </row>
    <row r="6" spans="1:28" ht="14.25" customHeight="1" x14ac:dyDescent="0.15"/>
    <row r="7" spans="1:28" ht="14.25" customHeight="1" x14ac:dyDescent="0.15"/>
    <row r="8" spans="1:28" ht="14.25" customHeight="1" x14ac:dyDescent="0.15"/>
    <row r="9" spans="1:28" ht="14.25" customHeight="1" x14ac:dyDescent="0.15"/>
    <row r="10" spans="1:28" ht="14.25" customHeight="1" x14ac:dyDescent="0.15"/>
    <row r="11" spans="1:28" ht="14.25" customHeight="1" x14ac:dyDescent="0.15"/>
    <row r="12" spans="1:28" ht="14.25" customHeight="1" x14ac:dyDescent="0.15"/>
    <row r="13" spans="1:28" ht="14.25" customHeight="1" x14ac:dyDescent="0.15"/>
    <row r="14" spans="1:28" ht="14.25" customHeight="1" x14ac:dyDescent="0.15"/>
    <row r="15" spans="1:28" ht="14.25" customHeight="1" x14ac:dyDescent="0.15"/>
    <row r="16" spans="1:28" ht="14.25" customHeight="1" x14ac:dyDescent="0.15"/>
    <row r="17" ht="14.25" customHeight="1" x14ac:dyDescent="0.15"/>
    <row r="18" ht="14.25" customHeight="1" x14ac:dyDescent="0.15"/>
    <row r="19" ht="14.25" customHeight="1" x14ac:dyDescent="0.15"/>
    <row r="20" ht="14.25" customHeight="1" x14ac:dyDescent="0.15"/>
    <row r="21" ht="14.25" customHeight="1" x14ac:dyDescent="0.15"/>
    <row r="22" ht="14.25" customHeight="1" x14ac:dyDescent="0.15"/>
    <row r="23" ht="14.25" customHeight="1" x14ac:dyDescent="0.15"/>
    <row r="24" ht="14.25" customHeight="1" x14ac:dyDescent="0.15"/>
    <row r="25" ht="14.25" customHeight="1" x14ac:dyDescent="0.15"/>
    <row r="26" ht="14.25" customHeight="1" x14ac:dyDescent="0.15"/>
    <row r="27" ht="14.25" customHeight="1" x14ac:dyDescent="0.15"/>
    <row r="28" ht="14.25" customHeight="1" x14ac:dyDescent="0.15"/>
    <row r="29" ht="14.25" customHeight="1" x14ac:dyDescent="0.15"/>
    <row r="30" ht="14.25" customHeight="1" x14ac:dyDescent="0.15"/>
    <row r="31" ht="14.25" customHeight="1" x14ac:dyDescent="0.15"/>
    <row r="32" ht="14.25" customHeight="1" x14ac:dyDescent="0.15"/>
    <row r="33" ht="14.25" customHeight="1" x14ac:dyDescent="0.15"/>
    <row r="34" ht="14.25" customHeight="1" x14ac:dyDescent="0.15"/>
    <row r="35" ht="14.25" customHeight="1" x14ac:dyDescent="0.15"/>
    <row r="36" ht="14.25" customHeight="1" x14ac:dyDescent="0.15"/>
    <row r="37" ht="14.25" customHeight="1" x14ac:dyDescent="0.15"/>
    <row r="38" ht="14.25" customHeight="1" x14ac:dyDescent="0.15"/>
    <row r="39" ht="14.25" customHeight="1" x14ac:dyDescent="0.15"/>
    <row r="40" ht="14.25" customHeight="1" x14ac:dyDescent="0.15"/>
    <row r="41" ht="14.25" customHeight="1" x14ac:dyDescent="0.15"/>
    <row r="42" ht="14.25" customHeight="1" x14ac:dyDescent="0.15"/>
    <row r="43" ht="14.25" customHeight="1" x14ac:dyDescent="0.15"/>
    <row r="44" ht="14.25" customHeight="1" x14ac:dyDescent="0.15"/>
    <row r="45" ht="14.25" customHeight="1" x14ac:dyDescent="0.15"/>
    <row r="46" ht="14.25" customHeight="1" x14ac:dyDescent="0.15"/>
    <row r="47" ht="14.25" customHeight="1" x14ac:dyDescent="0.15"/>
    <row r="48" ht="14.25" customHeight="1" x14ac:dyDescent="0.15"/>
    <row r="49" ht="14.25" customHeight="1" x14ac:dyDescent="0.15"/>
    <row r="50" ht="14.25" customHeight="1" x14ac:dyDescent="0.15"/>
    <row r="51" ht="14.25" customHeight="1" x14ac:dyDescent="0.15"/>
    <row r="52" ht="14.25" customHeight="1" x14ac:dyDescent="0.15"/>
    <row r="53" ht="14.25" customHeight="1" x14ac:dyDescent="0.15"/>
    <row r="54" ht="14.25" customHeight="1" x14ac:dyDescent="0.15"/>
    <row r="55" ht="14.25" customHeight="1" x14ac:dyDescent="0.15"/>
    <row r="56" ht="14.25" customHeight="1" x14ac:dyDescent="0.15"/>
    <row r="57" ht="14.25" customHeight="1" x14ac:dyDescent="0.15"/>
    <row r="58" ht="14.25" customHeight="1" x14ac:dyDescent="0.15"/>
    <row r="59" ht="14.25" customHeight="1" x14ac:dyDescent="0.15"/>
    <row r="60" ht="14.25" customHeight="1" x14ac:dyDescent="0.15"/>
    <row r="61" ht="14.25" customHeight="1" x14ac:dyDescent="0.15"/>
    <row r="62" ht="14.25" customHeight="1" x14ac:dyDescent="0.15"/>
    <row r="63" ht="14.25" customHeight="1" x14ac:dyDescent="0.15"/>
    <row r="64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  <row r="70" ht="14.25" customHeight="1" x14ac:dyDescent="0.15"/>
    <row r="71" ht="14.25" customHeight="1" x14ac:dyDescent="0.15"/>
    <row r="72" ht="14.25" customHeight="1" x14ac:dyDescent="0.15"/>
    <row r="73" ht="14.25" customHeight="1" x14ac:dyDescent="0.15"/>
    <row r="74" ht="14.25" customHeight="1" x14ac:dyDescent="0.15"/>
    <row r="75" ht="14.25" customHeight="1" x14ac:dyDescent="0.15"/>
    <row r="76" ht="14.25" customHeight="1" x14ac:dyDescent="0.15"/>
    <row r="77" ht="14.25" customHeight="1" x14ac:dyDescent="0.15"/>
    <row r="78" ht="14.25" customHeight="1" x14ac:dyDescent="0.15"/>
    <row r="79" ht="14.25" customHeight="1" x14ac:dyDescent="0.15"/>
    <row r="80" ht="14.25" customHeight="1" x14ac:dyDescent="0.15"/>
    <row r="81" ht="14.25" customHeight="1" x14ac:dyDescent="0.15"/>
    <row r="82" ht="14.25" customHeight="1" x14ac:dyDescent="0.15"/>
    <row r="83" ht="14.25" customHeight="1" x14ac:dyDescent="0.15"/>
    <row r="84" ht="14.25" customHeight="1" x14ac:dyDescent="0.15"/>
    <row r="85" ht="14.25" customHeight="1" x14ac:dyDescent="0.15"/>
    <row r="86" ht="14.25" customHeight="1" x14ac:dyDescent="0.15"/>
    <row r="87" ht="14.25" customHeight="1" x14ac:dyDescent="0.15"/>
    <row r="88" ht="14.25" customHeight="1" x14ac:dyDescent="0.15"/>
    <row r="89" ht="14.25" customHeight="1" x14ac:dyDescent="0.15"/>
    <row r="90" ht="14.25" customHeight="1" x14ac:dyDescent="0.15"/>
    <row r="91" ht="14.25" customHeight="1" x14ac:dyDescent="0.15"/>
    <row r="92" ht="14.25" customHeight="1" x14ac:dyDescent="0.15"/>
    <row r="93" ht="14.25" customHeight="1" x14ac:dyDescent="0.15"/>
    <row r="94" ht="14.25" customHeight="1" x14ac:dyDescent="0.15"/>
    <row r="95" ht="14.25" customHeight="1" x14ac:dyDescent="0.15"/>
    <row r="96" ht="14.25" customHeight="1" x14ac:dyDescent="0.15"/>
    <row r="97" ht="14.25" customHeight="1" x14ac:dyDescent="0.15"/>
    <row r="98" ht="14.25" customHeight="1" x14ac:dyDescent="0.15"/>
    <row r="99" ht="14.25" customHeight="1" x14ac:dyDescent="0.15"/>
    <row r="100" ht="14.25" customHeight="1" x14ac:dyDescent="0.15"/>
    <row r="101" ht="14.25" customHeight="1" x14ac:dyDescent="0.15"/>
    <row r="102" ht="14.25" customHeight="1" x14ac:dyDescent="0.15"/>
    <row r="103" ht="14.25" customHeight="1" x14ac:dyDescent="0.15"/>
    <row r="104" ht="14.25" customHeight="1" x14ac:dyDescent="0.15"/>
    <row r="105" ht="14.25" customHeight="1" x14ac:dyDescent="0.15"/>
    <row r="106" ht="14.25" customHeight="1" x14ac:dyDescent="0.15"/>
    <row r="107" ht="14.25" customHeight="1" x14ac:dyDescent="0.15"/>
    <row r="108" ht="14.25" customHeight="1" x14ac:dyDescent="0.15"/>
    <row r="109" ht="14.25" customHeight="1" x14ac:dyDescent="0.15"/>
    <row r="110" ht="14.25" customHeight="1" x14ac:dyDescent="0.15"/>
    <row r="111" ht="14.25" customHeight="1" x14ac:dyDescent="0.15"/>
    <row r="112" ht="14.25" customHeight="1" x14ac:dyDescent="0.15"/>
    <row r="113" ht="14.25" customHeight="1" x14ac:dyDescent="0.15"/>
    <row r="114" ht="14.25" customHeight="1" x14ac:dyDescent="0.15"/>
    <row r="115" ht="14.25" customHeight="1" x14ac:dyDescent="0.15"/>
    <row r="116" ht="14.25" customHeight="1" x14ac:dyDescent="0.15"/>
    <row r="117" ht="14.25" customHeight="1" x14ac:dyDescent="0.15"/>
    <row r="118" ht="14.25" customHeight="1" x14ac:dyDescent="0.15"/>
    <row r="119" ht="14.25" customHeight="1" x14ac:dyDescent="0.15"/>
    <row r="120" ht="14.25" customHeight="1" x14ac:dyDescent="0.15"/>
    <row r="121" ht="14.25" customHeight="1" x14ac:dyDescent="0.15"/>
    <row r="122" ht="14.25" customHeight="1" x14ac:dyDescent="0.15"/>
    <row r="123" ht="14.25" customHeight="1" x14ac:dyDescent="0.15"/>
    <row r="124" ht="14.25" customHeight="1" x14ac:dyDescent="0.15"/>
    <row r="125" ht="14.25" customHeight="1" x14ac:dyDescent="0.15"/>
    <row r="126" ht="14.25" customHeight="1" x14ac:dyDescent="0.15"/>
    <row r="127" ht="14.25" customHeight="1" x14ac:dyDescent="0.15"/>
    <row r="128" ht="14.25" customHeight="1" x14ac:dyDescent="0.15"/>
    <row r="129" ht="14.25" customHeight="1" x14ac:dyDescent="0.15"/>
    <row r="130" ht="14.25" customHeight="1" x14ac:dyDescent="0.15"/>
    <row r="131" ht="14.25" customHeight="1" x14ac:dyDescent="0.15"/>
    <row r="132" ht="14.25" customHeight="1" x14ac:dyDescent="0.15"/>
    <row r="133" ht="14.25" customHeight="1" x14ac:dyDescent="0.15"/>
    <row r="134" ht="14.25" customHeight="1" x14ac:dyDescent="0.15"/>
    <row r="135" ht="14.25" customHeight="1" x14ac:dyDescent="0.15"/>
    <row r="136" ht="14.25" customHeight="1" x14ac:dyDescent="0.15"/>
    <row r="137" ht="14.25" customHeight="1" x14ac:dyDescent="0.15"/>
    <row r="138" ht="14.25" customHeight="1" x14ac:dyDescent="0.15"/>
    <row r="139" ht="14.25" customHeight="1" x14ac:dyDescent="0.15"/>
    <row r="140" ht="14.25" customHeight="1" x14ac:dyDescent="0.15"/>
    <row r="141" ht="14.25" customHeight="1" x14ac:dyDescent="0.15"/>
    <row r="142" ht="14.25" customHeight="1" x14ac:dyDescent="0.15"/>
    <row r="143" ht="14.25" customHeight="1" x14ac:dyDescent="0.15"/>
    <row r="144" ht="14.25" customHeight="1" x14ac:dyDescent="0.15"/>
    <row r="145" ht="14.25" customHeight="1" x14ac:dyDescent="0.15"/>
    <row r="146" ht="14.25" customHeight="1" x14ac:dyDescent="0.15"/>
    <row r="147" ht="14.25" customHeight="1" x14ac:dyDescent="0.15"/>
    <row r="148" ht="14.25" customHeight="1" x14ac:dyDescent="0.15"/>
    <row r="149" ht="14.25" customHeight="1" x14ac:dyDescent="0.15"/>
    <row r="150" ht="14.25" customHeight="1" x14ac:dyDescent="0.15"/>
    <row r="151" ht="14.25" customHeight="1" x14ac:dyDescent="0.15"/>
    <row r="152" ht="14.25" customHeight="1" x14ac:dyDescent="0.15"/>
    <row r="153" ht="14.25" customHeight="1" x14ac:dyDescent="0.15"/>
    <row r="154" ht="14.25" customHeight="1" x14ac:dyDescent="0.15"/>
    <row r="155" ht="14.25" customHeight="1" x14ac:dyDescent="0.15"/>
    <row r="156" ht="14.25" customHeight="1" x14ac:dyDescent="0.15"/>
    <row r="157" ht="14.25" customHeight="1" x14ac:dyDescent="0.15"/>
    <row r="158" ht="14.25" customHeight="1" x14ac:dyDescent="0.15"/>
    <row r="159" ht="14.25" customHeight="1" x14ac:dyDescent="0.15"/>
    <row r="160" ht="14.25" customHeight="1" x14ac:dyDescent="0.15"/>
    <row r="161" ht="14.25" customHeight="1" x14ac:dyDescent="0.15"/>
    <row r="162" ht="14.25" customHeight="1" x14ac:dyDescent="0.15"/>
    <row r="163" ht="14.25" customHeight="1" x14ac:dyDescent="0.15"/>
    <row r="164" ht="14.25" customHeight="1" x14ac:dyDescent="0.15"/>
    <row r="165" ht="14.25" customHeight="1" x14ac:dyDescent="0.15"/>
    <row r="166" ht="14.25" customHeight="1" x14ac:dyDescent="0.15"/>
    <row r="167" ht="14.25" customHeight="1" x14ac:dyDescent="0.15"/>
    <row r="168" ht="14.25" customHeight="1" x14ac:dyDescent="0.15"/>
    <row r="169" ht="14.25" customHeight="1" x14ac:dyDescent="0.15"/>
    <row r="170" ht="14.25" customHeight="1" x14ac:dyDescent="0.15"/>
    <row r="171" ht="14.25" customHeight="1" x14ac:dyDescent="0.15"/>
    <row r="172" ht="14.25" customHeight="1" x14ac:dyDescent="0.15"/>
    <row r="173" ht="14.25" customHeight="1" x14ac:dyDescent="0.15"/>
    <row r="174" ht="14.25" customHeight="1" x14ac:dyDescent="0.15"/>
    <row r="175" ht="14.25" customHeight="1" x14ac:dyDescent="0.15"/>
    <row r="176" ht="14.25" customHeight="1" x14ac:dyDescent="0.15"/>
    <row r="177" ht="14.25" customHeight="1" x14ac:dyDescent="0.15"/>
    <row r="178" ht="14.25" customHeight="1" x14ac:dyDescent="0.15"/>
    <row r="179" ht="14.25" customHeight="1" x14ac:dyDescent="0.15"/>
    <row r="180" ht="14.25" customHeight="1" x14ac:dyDescent="0.15"/>
    <row r="181" ht="14.25" customHeight="1" x14ac:dyDescent="0.15"/>
    <row r="182" ht="14.25" customHeight="1" x14ac:dyDescent="0.15"/>
    <row r="183" ht="14.25" customHeight="1" x14ac:dyDescent="0.15"/>
    <row r="184" ht="14.25" customHeight="1" x14ac:dyDescent="0.15"/>
    <row r="185" ht="14.25" customHeight="1" x14ac:dyDescent="0.15"/>
    <row r="186" ht="14.25" customHeight="1" x14ac:dyDescent="0.15"/>
    <row r="187" ht="14.25" customHeight="1" x14ac:dyDescent="0.15"/>
    <row r="188" ht="14.25" customHeight="1" x14ac:dyDescent="0.15"/>
    <row r="189" ht="14.25" customHeight="1" x14ac:dyDescent="0.15"/>
    <row r="190" ht="14.25" customHeight="1" x14ac:dyDescent="0.15"/>
    <row r="191" ht="14.25" customHeight="1" x14ac:dyDescent="0.15"/>
    <row r="192" ht="14.25" customHeight="1" x14ac:dyDescent="0.15"/>
    <row r="193" ht="14.25" customHeight="1" x14ac:dyDescent="0.15"/>
    <row r="194" ht="14.25" customHeight="1" x14ac:dyDescent="0.15"/>
    <row r="195" ht="14.25" customHeight="1" x14ac:dyDescent="0.15"/>
    <row r="196" ht="14.25" customHeight="1" x14ac:dyDescent="0.15"/>
    <row r="197" ht="14.25" customHeight="1" x14ac:dyDescent="0.15"/>
    <row r="198" ht="14.25" customHeight="1" x14ac:dyDescent="0.15"/>
    <row r="199" ht="14.25" customHeight="1" x14ac:dyDescent="0.15"/>
    <row r="200" ht="14.25" customHeight="1" x14ac:dyDescent="0.15"/>
    <row r="201" ht="14.25" customHeight="1" x14ac:dyDescent="0.15"/>
    <row r="202" ht="14.25" customHeight="1" x14ac:dyDescent="0.15"/>
    <row r="203" ht="14.25" customHeight="1" x14ac:dyDescent="0.15"/>
    <row r="204" ht="14.25" customHeight="1" x14ac:dyDescent="0.15"/>
    <row r="205" ht="14.25" customHeight="1" x14ac:dyDescent="0.15"/>
    <row r="206" ht="14.25" customHeight="1" x14ac:dyDescent="0.15"/>
    <row r="207" ht="14.25" customHeight="1" x14ac:dyDescent="0.15"/>
    <row r="208" ht="14.25" customHeight="1" x14ac:dyDescent="0.15"/>
    <row r="209" ht="14.25" customHeight="1" x14ac:dyDescent="0.15"/>
    <row r="210" ht="14.25" customHeight="1" x14ac:dyDescent="0.15"/>
    <row r="211" ht="14.25" customHeight="1" x14ac:dyDescent="0.15"/>
    <row r="212" ht="14.25" customHeight="1" x14ac:dyDescent="0.15"/>
    <row r="213" ht="14.25" customHeight="1" x14ac:dyDescent="0.15"/>
    <row r="214" ht="14.25" customHeight="1" x14ac:dyDescent="0.15"/>
    <row r="215" ht="14.25" customHeight="1" x14ac:dyDescent="0.15"/>
    <row r="216" ht="14.25" customHeight="1" x14ac:dyDescent="0.15"/>
    <row r="217" ht="14.25" customHeight="1" x14ac:dyDescent="0.15"/>
    <row r="218" ht="14.25" customHeight="1" x14ac:dyDescent="0.15"/>
    <row r="219" ht="14.25" customHeight="1" x14ac:dyDescent="0.15"/>
    <row r="220" ht="14.2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000"/>
  <sheetViews>
    <sheetView workbookViewId="0">
      <selection activeCell="F1" sqref="F1:F1048576"/>
    </sheetView>
  </sheetViews>
  <sheetFormatPr baseColWidth="10" defaultColWidth="12.6640625" defaultRowHeight="15" customHeight="1" x14ac:dyDescent="0.2"/>
  <cols>
    <col min="1" max="1" width="17" style="32" bestFit="1" customWidth="1"/>
    <col min="2" max="2" width="15.83203125" style="21" bestFit="1" customWidth="1"/>
    <col min="3" max="3" width="14.1640625" style="21" customWidth="1"/>
    <col min="4" max="4" width="29.33203125" style="21" bestFit="1" customWidth="1"/>
    <col min="5" max="5" width="24.83203125" style="21" bestFit="1" customWidth="1"/>
    <col min="6" max="6" width="17" style="21" bestFit="1" customWidth="1"/>
    <col min="7" max="7" width="14" style="21" bestFit="1" customWidth="1"/>
    <col min="8" max="8" width="27.1640625" style="21" bestFit="1" customWidth="1"/>
    <col min="9" max="9" width="23.83203125" style="21" bestFit="1" customWidth="1"/>
    <col min="10" max="10" width="29.6640625" style="21" bestFit="1" customWidth="1"/>
    <col min="11" max="11" width="16.83203125" style="21" bestFit="1" customWidth="1"/>
    <col min="12" max="12" width="15" style="21" bestFit="1" customWidth="1"/>
    <col min="13" max="13" width="20" style="21" bestFit="1" customWidth="1"/>
    <col min="14" max="14" width="18.1640625" style="21" bestFit="1" customWidth="1"/>
    <col min="15" max="15" width="27.83203125" style="21" bestFit="1" customWidth="1"/>
    <col min="16" max="16" width="18" style="21" bestFit="1" customWidth="1"/>
    <col min="17" max="17" width="27.83203125" style="21" bestFit="1" customWidth="1"/>
    <col min="18" max="18" width="19.5" style="21" bestFit="1" customWidth="1"/>
    <col min="19" max="16384" width="12.6640625" style="21"/>
  </cols>
  <sheetData>
    <row r="1" spans="1:18" ht="14.25" customHeight="1" x14ac:dyDescent="0.2">
      <c r="A1" s="1" t="s">
        <v>81</v>
      </c>
      <c r="B1" s="20" t="s">
        <v>62</v>
      </c>
      <c r="C1" s="20" t="s">
        <v>63</v>
      </c>
      <c r="D1" s="20" t="s">
        <v>64</v>
      </c>
      <c r="E1" s="20" t="s">
        <v>65</v>
      </c>
      <c r="F1" s="20" t="s">
        <v>66</v>
      </c>
      <c r="G1" s="20" t="s">
        <v>67</v>
      </c>
      <c r="H1" s="20" t="s">
        <v>68</v>
      </c>
      <c r="I1" s="20" t="s">
        <v>95</v>
      </c>
      <c r="J1" s="20" t="s">
        <v>70</v>
      </c>
      <c r="K1" s="20" t="s">
        <v>71</v>
      </c>
      <c r="L1" s="20" t="s">
        <v>72</v>
      </c>
      <c r="M1" s="20" t="s">
        <v>73</v>
      </c>
      <c r="N1" s="20" t="s">
        <v>74</v>
      </c>
      <c r="O1" s="20" t="s">
        <v>75</v>
      </c>
      <c r="P1" s="20" t="s">
        <v>76</v>
      </c>
      <c r="Q1" s="20" t="s">
        <v>77</v>
      </c>
      <c r="R1" s="20" t="s">
        <v>78</v>
      </c>
    </row>
    <row r="2" spans="1:18" ht="14.25" customHeight="1" x14ac:dyDescent="0.2">
      <c r="A2" s="1" t="s">
        <v>33</v>
      </c>
      <c r="B2" s="19">
        <v>0</v>
      </c>
      <c r="C2" s="19">
        <v>0</v>
      </c>
      <c r="D2" s="19">
        <v>0</v>
      </c>
      <c r="E2" s="19">
        <v>0</v>
      </c>
      <c r="F2" s="19">
        <v>0</v>
      </c>
      <c r="G2" s="19">
        <v>0</v>
      </c>
      <c r="H2" s="19">
        <v>0</v>
      </c>
      <c r="I2" s="19">
        <v>0</v>
      </c>
      <c r="J2" s="19">
        <v>0</v>
      </c>
      <c r="K2" s="19">
        <v>0</v>
      </c>
      <c r="L2" s="19">
        <v>0</v>
      </c>
      <c r="M2" s="19">
        <v>0</v>
      </c>
      <c r="N2" s="19">
        <v>0</v>
      </c>
      <c r="O2" s="19">
        <v>0</v>
      </c>
      <c r="P2" s="19">
        <v>0</v>
      </c>
      <c r="Q2" s="19">
        <v>0</v>
      </c>
      <c r="R2" s="19">
        <v>0</v>
      </c>
    </row>
    <row r="3" spans="1:18" ht="14.25" customHeight="1" x14ac:dyDescent="0.2">
      <c r="A3" s="1">
        <v>0</v>
      </c>
      <c r="B3" s="19">
        <v>0</v>
      </c>
      <c r="C3" s="19">
        <v>0</v>
      </c>
      <c r="D3" s="19">
        <v>0</v>
      </c>
      <c r="E3" s="19">
        <v>0</v>
      </c>
      <c r="F3" s="19">
        <v>0</v>
      </c>
      <c r="G3" s="19">
        <v>0</v>
      </c>
      <c r="H3" s="19">
        <v>0</v>
      </c>
      <c r="I3" s="19">
        <v>0</v>
      </c>
      <c r="J3" s="19">
        <v>0</v>
      </c>
      <c r="K3" s="19">
        <v>0</v>
      </c>
      <c r="L3" s="19">
        <v>0</v>
      </c>
      <c r="M3" s="20">
        <v>0</v>
      </c>
      <c r="N3" s="20">
        <v>0</v>
      </c>
      <c r="O3" s="20">
        <v>0</v>
      </c>
      <c r="P3" s="20">
        <v>0</v>
      </c>
      <c r="Q3" s="20">
        <v>0</v>
      </c>
      <c r="R3" s="20">
        <v>0</v>
      </c>
    </row>
    <row r="4" spans="1:18" ht="14.25" customHeight="1" x14ac:dyDescent="0.2">
      <c r="A4" s="1">
        <v>1</v>
      </c>
      <c r="B4" s="21">
        <v>3.5448148703496031E-2</v>
      </c>
      <c r="C4" s="22">
        <v>9.9381756136440472E-2</v>
      </c>
      <c r="D4" s="21">
        <v>3.9725054293254E-2</v>
      </c>
      <c r="E4" s="22">
        <v>-7.6522667734568339E-2</v>
      </c>
      <c r="F4" s="21">
        <v>3.2149219525577019E-2</v>
      </c>
      <c r="G4" s="22">
        <v>9.686194389527536E-2</v>
      </c>
      <c r="H4" s="21">
        <v>-4.1859641648223297E-2</v>
      </c>
      <c r="I4" s="22">
        <v>-7.3950406413400366E-2</v>
      </c>
      <c r="J4" s="22">
        <v>-6.1213870078683695E-2</v>
      </c>
      <c r="K4" s="21">
        <v>-5.0305643743978209E-2</v>
      </c>
      <c r="L4" s="22">
        <v>-9.5939318643560423E-2</v>
      </c>
      <c r="M4" s="21">
        <v>-6.6388869188609048E-2</v>
      </c>
      <c r="N4" s="22">
        <v>0</v>
      </c>
      <c r="O4" s="22">
        <v>0</v>
      </c>
      <c r="P4" s="22">
        <v>0</v>
      </c>
      <c r="Q4" s="22">
        <v>0</v>
      </c>
      <c r="R4" s="22">
        <v>0</v>
      </c>
    </row>
    <row r="5" spans="1:18" ht="14.25" customHeight="1" x14ac:dyDescent="0.2">
      <c r="A5" s="1">
        <v>2</v>
      </c>
      <c r="B5" s="19">
        <f>B$4*$A5</f>
        <v>7.0896297406992062E-2</v>
      </c>
      <c r="C5" s="19">
        <f t="shared" ref="C5:R19" si="0">C$4*$A5</f>
        <v>0.19876351227288094</v>
      </c>
      <c r="D5" s="19">
        <f t="shared" si="0"/>
        <v>7.9450108586508E-2</v>
      </c>
      <c r="E5" s="19">
        <f t="shared" si="0"/>
        <v>-0.15304533546913668</v>
      </c>
      <c r="F5" s="19">
        <f t="shared" si="0"/>
        <v>6.4298439051154038E-2</v>
      </c>
      <c r="G5" s="19">
        <f t="shared" si="0"/>
        <v>0.19372388779055072</v>
      </c>
      <c r="H5" s="19">
        <f t="shared" si="0"/>
        <v>-8.3719283296446595E-2</v>
      </c>
      <c r="I5" s="19">
        <f t="shared" si="0"/>
        <v>-0.14790081282680073</v>
      </c>
      <c r="J5" s="19">
        <f t="shared" si="0"/>
        <v>-0.12242774015736739</v>
      </c>
      <c r="K5" s="19">
        <f t="shared" si="0"/>
        <v>-0.10061128748795642</v>
      </c>
      <c r="L5" s="19">
        <f t="shared" si="0"/>
        <v>-0.19187863728712085</v>
      </c>
      <c r="M5" s="19">
        <f t="shared" si="0"/>
        <v>-0.1327777383772181</v>
      </c>
      <c r="N5" s="19">
        <f t="shared" si="0"/>
        <v>0</v>
      </c>
      <c r="O5" s="19">
        <f t="shared" si="0"/>
        <v>0</v>
      </c>
      <c r="P5" s="19">
        <f t="shared" si="0"/>
        <v>0</v>
      </c>
      <c r="Q5" s="19">
        <f t="shared" si="0"/>
        <v>0</v>
      </c>
      <c r="R5" s="19">
        <f t="shared" si="0"/>
        <v>0</v>
      </c>
    </row>
    <row r="6" spans="1:18" ht="14.25" customHeight="1" x14ac:dyDescent="0.2">
      <c r="A6" s="1">
        <v>3</v>
      </c>
      <c r="B6" s="19">
        <f t="shared" ref="B6:O69" si="1">B$4*$A6</f>
        <v>0.1063444461104881</v>
      </c>
      <c r="C6" s="19">
        <f t="shared" si="1"/>
        <v>0.29814526840932143</v>
      </c>
      <c r="D6" s="19">
        <f t="shared" si="1"/>
        <v>0.119175162879762</v>
      </c>
      <c r="E6" s="19">
        <f t="shared" si="1"/>
        <v>-0.22956800320370502</v>
      </c>
      <c r="F6" s="19">
        <f t="shared" si="1"/>
        <v>9.6447658576731057E-2</v>
      </c>
      <c r="G6" s="19">
        <f t="shared" si="1"/>
        <v>0.29058583168582608</v>
      </c>
      <c r="H6" s="19">
        <f t="shared" si="1"/>
        <v>-0.12557892494466988</v>
      </c>
      <c r="I6" s="19">
        <f t="shared" si="1"/>
        <v>-0.2218512192402011</v>
      </c>
      <c r="J6" s="19">
        <f t="shared" si="1"/>
        <v>-0.18364161023605108</v>
      </c>
      <c r="K6" s="19">
        <f t="shared" si="1"/>
        <v>-0.15091693123193461</v>
      </c>
      <c r="L6" s="19">
        <f t="shared" si="1"/>
        <v>-0.28781795593068127</v>
      </c>
      <c r="M6" s="19">
        <f t="shared" si="1"/>
        <v>-0.19916660756582716</v>
      </c>
      <c r="N6" s="19">
        <f t="shared" si="1"/>
        <v>0</v>
      </c>
      <c r="O6" s="19">
        <f t="shared" si="1"/>
        <v>0</v>
      </c>
      <c r="P6" s="19">
        <f t="shared" si="0"/>
        <v>0</v>
      </c>
      <c r="Q6" s="19">
        <f t="shared" si="0"/>
        <v>0</v>
      </c>
      <c r="R6" s="19">
        <f t="shared" si="0"/>
        <v>0</v>
      </c>
    </row>
    <row r="7" spans="1:18" ht="14.25" customHeight="1" x14ac:dyDescent="0.2">
      <c r="A7" s="1">
        <v>4</v>
      </c>
      <c r="B7" s="19">
        <f t="shared" si="1"/>
        <v>0.14179259481398412</v>
      </c>
      <c r="C7" s="19">
        <f t="shared" si="0"/>
        <v>0.39752702454576189</v>
      </c>
      <c r="D7" s="19">
        <f t="shared" si="0"/>
        <v>0.158900217173016</v>
      </c>
      <c r="E7" s="19">
        <f t="shared" si="0"/>
        <v>-0.30609067093827336</v>
      </c>
      <c r="F7" s="19">
        <f t="shared" si="0"/>
        <v>0.12859687810230808</v>
      </c>
      <c r="G7" s="19">
        <f t="shared" si="0"/>
        <v>0.38744777558110144</v>
      </c>
      <c r="H7" s="19">
        <f t="shared" si="0"/>
        <v>-0.16743856659289319</v>
      </c>
      <c r="I7" s="19">
        <f t="shared" si="0"/>
        <v>-0.29580162565360146</v>
      </c>
      <c r="J7" s="19">
        <f t="shared" si="0"/>
        <v>-0.24485548031473478</v>
      </c>
      <c r="K7" s="19">
        <f t="shared" si="0"/>
        <v>-0.20122257497591284</v>
      </c>
      <c r="L7" s="19">
        <f t="shared" si="0"/>
        <v>-0.38375727457424169</v>
      </c>
      <c r="M7" s="19">
        <f t="shared" si="0"/>
        <v>-0.26555547675443619</v>
      </c>
      <c r="N7" s="19">
        <f t="shared" si="0"/>
        <v>0</v>
      </c>
      <c r="O7" s="19">
        <f t="shared" si="0"/>
        <v>0</v>
      </c>
      <c r="P7" s="19">
        <f t="shared" si="0"/>
        <v>0</v>
      </c>
      <c r="Q7" s="19">
        <f t="shared" si="0"/>
        <v>0</v>
      </c>
      <c r="R7" s="19">
        <f t="shared" si="0"/>
        <v>0</v>
      </c>
    </row>
    <row r="8" spans="1:18" ht="14.25" customHeight="1" x14ac:dyDescent="0.2">
      <c r="A8" s="1">
        <v>5</v>
      </c>
      <c r="B8" s="19">
        <f t="shared" si="1"/>
        <v>0.17724074351748015</v>
      </c>
      <c r="C8" s="19">
        <f t="shared" si="0"/>
        <v>0.49690878068220234</v>
      </c>
      <c r="D8" s="19">
        <f t="shared" si="0"/>
        <v>0.19862527146627001</v>
      </c>
      <c r="E8" s="19">
        <f t="shared" si="0"/>
        <v>-0.3826133386728417</v>
      </c>
      <c r="F8" s="19">
        <f t="shared" si="0"/>
        <v>0.16074609762788511</v>
      </c>
      <c r="G8" s="19">
        <f t="shared" si="0"/>
        <v>0.4843097194763768</v>
      </c>
      <c r="H8" s="19">
        <f t="shared" si="0"/>
        <v>-0.2092982082411165</v>
      </c>
      <c r="I8" s="19">
        <f t="shared" si="0"/>
        <v>-0.3697520320670018</v>
      </c>
      <c r="J8" s="19">
        <f t="shared" si="0"/>
        <v>-0.30606935039341848</v>
      </c>
      <c r="K8" s="19">
        <f t="shared" si="0"/>
        <v>-0.25152821871989106</v>
      </c>
      <c r="L8" s="19">
        <f t="shared" si="0"/>
        <v>-0.47969659321780211</v>
      </c>
      <c r="M8" s="19">
        <f t="shared" si="0"/>
        <v>-0.33194434594304523</v>
      </c>
      <c r="N8" s="19">
        <f t="shared" si="0"/>
        <v>0</v>
      </c>
      <c r="O8" s="19">
        <f t="shared" si="0"/>
        <v>0</v>
      </c>
      <c r="P8" s="19">
        <f t="shared" si="0"/>
        <v>0</v>
      </c>
      <c r="Q8" s="19">
        <f t="shared" si="0"/>
        <v>0</v>
      </c>
      <c r="R8" s="19">
        <f t="shared" si="0"/>
        <v>0</v>
      </c>
    </row>
    <row r="9" spans="1:18" ht="14.25" customHeight="1" x14ac:dyDescent="0.2">
      <c r="A9" s="1">
        <v>6</v>
      </c>
      <c r="B9" s="19">
        <f t="shared" si="1"/>
        <v>0.2126888922209762</v>
      </c>
      <c r="C9" s="19">
        <f t="shared" si="0"/>
        <v>0.59629053681864286</v>
      </c>
      <c r="D9" s="19">
        <f t="shared" si="0"/>
        <v>0.238350325759524</v>
      </c>
      <c r="E9" s="19">
        <f t="shared" si="0"/>
        <v>-0.45913600640741004</v>
      </c>
      <c r="F9" s="19">
        <f t="shared" si="0"/>
        <v>0.19289531715346211</v>
      </c>
      <c r="G9" s="19">
        <f t="shared" si="0"/>
        <v>0.58117166337165216</v>
      </c>
      <c r="H9" s="19">
        <f t="shared" si="0"/>
        <v>-0.25115784988933976</v>
      </c>
      <c r="I9" s="19">
        <f t="shared" si="0"/>
        <v>-0.44370243848040219</v>
      </c>
      <c r="J9" s="19">
        <f t="shared" si="0"/>
        <v>-0.36728322047210216</v>
      </c>
      <c r="K9" s="19">
        <f t="shared" si="0"/>
        <v>-0.30183386246386923</v>
      </c>
      <c r="L9" s="19">
        <f t="shared" si="0"/>
        <v>-0.57563591186136254</v>
      </c>
      <c r="M9" s="19">
        <f t="shared" si="0"/>
        <v>-0.39833321513165432</v>
      </c>
      <c r="N9" s="19">
        <f t="shared" si="0"/>
        <v>0</v>
      </c>
      <c r="O9" s="19">
        <f t="shared" si="0"/>
        <v>0</v>
      </c>
      <c r="P9" s="19">
        <f t="shared" si="0"/>
        <v>0</v>
      </c>
      <c r="Q9" s="19">
        <f t="shared" si="0"/>
        <v>0</v>
      </c>
      <c r="R9" s="19">
        <f t="shared" si="0"/>
        <v>0</v>
      </c>
    </row>
    <row r="10" spans="1:18" ht="14.25" customHeight="1" x14ac:dyDescent="0.2">
      <c r="A10" s="1">
        <v>7</v>
      </c>
      <c r="B10" s="19">
        <f t="shared" si="1"/>
        <v>0.24813704092447222</v>
      </c>
      <c r="C10" s="19">
        <f t="shared" si="0"/>
        <v>0.69567229295508326</v>
      </c>
      <c r="D10" s="19">
        <f t="shared" si="0"/>
        <v>0.27807538005277799</v>
      </c>
      <c r="E10" s="19">
        <f t="shared" si="0"/>
        <v>-0.53565867414197843</v>
      </c>
      <c r="F10" s="19">
        <f t="shared" si="0"/>
        <v>0.22504453667903912</v>
      </c>
      <c r="G10" s="19">
        <f t="shared" si="0"/>
        <v>0.67803360726692752</v>
      </c>
      <c r="H10" s="19">
        <f t="shared" si="0"/>
        <v>-0.29301749153756307</v>
      </c>
      <c r="I10" s="19">
        <f t="shared" si="0"/>
        <v>-0.51765284489380259</v>
      </c>
      <c r="J10" s="19">
        <f t="shared" si="0"/>
        <v>-0.42849709055078589</v>
      </c>
      <c r="K10" s="19">
        <f t="shared" si="0"/>
        <v>-0.35213950620784745</v>
      </c>
      <c r="L10" s="19">
        <f t="shared" si="0"/>
        <v>-0.67157523050492296</v>
      </c>
      <c r="M10" s="19">
        <f t="shared" si="0"/>
        <v>-0.46472208432026335</v>
      </c>
      <c r="N10" s="19">
        <f t="shared" si="0"/>
        <v>0</v>
      </c>
      <c r="O10" s="19">
        <f t="shared" si="0"/>
        <v>0</v>
      </c>
      <c r="P10" s="19">
        <f t="shared" si="0"/>
        <v>0</v>
      </c>
      <c r="Q10" s="19">
        <f t="shared" si="0"/>
        <v>0</v>
      </c>
      <c r="R10" s="19">
        <f t="shared" si="0"/>
        <v>0</v>
      </c>
    </row>
    <row r="11" spans="1:18" ht="14.25" customHeight="1" x14ac:dyDescent="0.2">
      <c r="A11" s="1">
        <v>8</v>
      </c>
      <c r="B11" s="19">
        <f t="shared" si="1"/>
        <v>0.28358518962796825</v>
      </c>
      <c r="C11" s="19">
        <f t="shared" si="0"/>
        <v>0.79505404909152377</v>
      </c>
      <c r="D11" s="19">
        <f t="shared" si="0"/>
        <v>0.317800434346032</v>
      </c>
      <c r="E11" s="19">
        <f t="shared" si="0"/>
        <v>-0.61218134187654671</v>
      </c>
      <c r="F11" s="19">
        <f t="shared" si="0"/>
        <v>0.25719375620461615</v>
      </c>
      <c r="G11" s="19">
        <f t="shared" si="0"/>
        <v>0.77489555116220288</v>
      </c>
      <c r="H11" s="19">
        <f t="shared" si="0"/>
        <v>-0.33487713318578638</v>
      </c>
      <c r="I11" s="19">
        <f t="shared" si="0"/>
        <v>-0.59160325130720293</v>
      </c>
      <c r="J11" s="19">
        <f t="shared" si="0"/>
        <v>-0.48971096062946956</v>
      </c>
      <c r="K11" s="19">
        <f t="shared" si="0"/>
        <v>-0.40244514995182568</v>
      </c>
      <c r="L11" s="19">
        <f t="shared" si="0"/>
        <v>-0.76751454914848338</v>
      </c>
      <c r="M11" s="19">
        <f t="shared" si="0"/>
        <v>-0.53111095350887239</v>
      </c>
      <c r="N11" s="19">
        <f t="shared" si="0"/>
        <v>0</v>
      </c>
      <c r="O11" s="19">
        <f t="shared" si="0"/>
        <v>0</v>
      </c>
      <c r="P11" s="19">
        <f t="shared" si="0"/>
        <v>0</v>
      </c>
      <c r="Q11" s="19">
        <f t="shared" si="0"/>
        <v>0</v>
      </c>
      <c r="R11" s="19">
        <f t="shared" si="0"/>
        <v>0</v>
      </c>
    </row>
    <row r="12" spans="1:18" ht="14.25" customHeight="1" x14ac:dyDescent="0.2">
      <c r="A12" s="1">
        <v>9</v>
      </c>
      <c r="B12" s="19">
        <f t="shared" si="1"/>
        <v>0.3190333383314643</v>
      </c>
      <c r="C12" s="19">
        <f t="shared" si="0"/>
        <v>0.89443580522796429</v>
      </c>
      <c r="D12" s="19">
        <f t="shared" si="0"/>
        <v>0.35752548863928602</v>
      </c>
      <c r="E12" s="19">
        <f t="shared" si="0"/>
        <v>-0.688704009611115</v>
      </c>
      <c r="F12" s="19">
        <f t="shared" si="0"/>
        <v>0.28934297573019319</v>
      </c>
      <c r="G12" s="19">
        <f t="shared" si="0"/>
        <v>0.87175749505747824</v>
      </c>
      <c r="H12" s="19">
        <f t="shared" si="0"/>
        <v>-0.37673677483400969</v>
      </c>
      <c r="I12" s="19">
        <f t="shared" si="0"/>
        <v>-0.66555365772060326</v>
      </c>
      <c r="J12" s="19">
        <f t="shared" si="0"/>
        <v>-0.55092483070815323</v>
      </c>
      <c r="K12" s="19">
        <f t="shared" si="0"/>
        <v>-0.4527507936958039</v>
      </c>
      <c r="L12" s="19">
        <f t="shared" si="0"/>
        <v>-0.86345386779204381</v>
      </c>
      <c r="M12" s="19">
        <f t="shared" si="0"/>
        <v>-0.59749982269748148</v>
      </c>
      <c r="N12" s="19">
        <f t="shared" si="0"/>
        <v>0</v>
      </c>
      <c r="O12" s="19">
        <f t="shared" si="0"/>
        <v>0</v>
      </c>
      <c r="P12" s="19">
        <f t="shared" si="0"/>
        <v>0</v>
      </c>
      <c r="Q12" s="19">
        <f t="shared" si="0"/>
        <v>0</v>
      </c>
      <c r="R12" s="19">
        <f t="shared" si="0"/>
        <v>0</v>
      </c>
    </row>
    <row r="13" spans="1:18" ht="14.25" customHeight="1" x14ac:dyDescent="0.2">
      <c r="A13" s="1">
        <v>10</v>
      </c>
      <c r="B13" s="19">
        <f t="shared" si="1"/>
        <v>0.3544814870349603</v>
      </c>
      <c r="C13" s="19">
        <f t="shared" si="0"/>
        <v>0.99381756136440469</v>
      </c>
      <c r="D13" s="19">
        <f t="shared" si="0"/>
        <v>0.39725054293254003</v>
      </c>
      <c r="E13" s="19">
        <f t="shared" si="0"/>
        <v>-0.76522667734568339</v>
      </c>
      <c r="F13" s="19">
        <f t="shared" si="0"/>
        <v>0.32149219525577022</v>
      </c>
      <c r="G13" s="19">
        <f t="shared" si="0"/>
        <v>0.9686194389527536</v>
      </c>
      <c r="H13" s="19">
        <f t="shared" si="0"/>
        <v>-0.418596416482233</v>
      </c>
      <c r="I13" s="19">
        <f t="shared" si="0"/>
        <v>-0.7395040641340036</v>
      </c>
      <c r="J13" s="19">
        <f t="shared" si="0"/>
        <v>-0.61213870078683696</v>
      </c>
      <c r="K13" s="19">
        <f t="shared" si="0"/>
        <v>-0.50305643743978212</v>
      </c>
      <c r="L13" s="19">
        <f t="shared" si="0"/>
        <v>-0.95939318643560423</v>
      </c>
      <c r="M13" s="19">
        <f t="shared" si="0"/>
        <v>-0.66388869188609045</v>
      </c>
      <c r="N13" s="19">
        <f t="shared" si="0"/>
        <v>0</v>
      </c>
      <c r="O13" s="19">
        <f t="shared" si="0"/>
        <v>0</v>
      </c>
      <c r="P13" s="19">
        <f t="shared" si="0"/>
        <v>0</v>
      </c>
      <c r="Q13" s="19">
        <f t="shared" si="0"/>
        <v>0</v>
      </c>
      <c r="R13" s="19">
        <f t="shared" si="0"/>
        <v>0</v>
      </c>
    </row>
    <row r="14" spans="1:18" ht="14.25" customHeight="1" x14ac:dyDescent="0.2">
      <c r="A14" s="1">
        <v>11</v>
      </c>
      <c r="B14" s="19">
        <f t="shared" si="1"/>
        <v>0.38992963573845635</v>
      </c>
      <c r="C14" s="19">
        <f t="shared" si="0"/>
        <v>1.0931993175008452</v>
      </c>
      <c r="D14" s="19">
        <f t="shared" si="0"/>
        <v>0.43697559722579399</v>
      </c>
      <c r="E14" s="19">
        <f t="shared" si="0"/>
        <v>-0.84174934508025179</v>
      </c>
      <c r="F14" s="19">
        <f t="shared" si="0"/>
        <v>0.3536414147813472</v>
      </c>
      <c r="G14" s="19">
        <f t="shared" si="0"/>
        <v>1.065481382848029</v>
      </c>
      <c r="H14" s="19">
        <f t="shared" si="0"/>
        <v>-0.46045605813045626</v>
      </c>
      <c r="I14" s="19">
        <f t="shared" si="0"/>
        <v>-0.81345447054740405</v>
      </c>
      <c r="J14" s="19">
        <f t="shared" si="0"/>
        <v>-0.67335257086552069</v>
      </c>
      <c r="K14" s="19">
        <f t="shared" si="0"/>
        <v>-0.55336208118376029</v>
      </c>
      <c r="L14" s="19">
        <f t="shared" si="0"/>
        <v>-1.0553325050791647</v>
      </c>
      <c r="M14" s="19">
        <f t="shared" si="0"/>
        <v>-0.73027756107469954</v>
      </c>
      <c r="N14" s="19">
        <f t="shared" si="0"/>
        <v>0</v>
      </c>
      <c r="O14" s="19">
        <f t="shared" si="0"/>
        <v>0</v>
      </c>
      <c r="P14" s="19">
        <f t="shared" si="0"/>
        <v>0</v>
      </c>
      <c r="Q14" s="19">
        <f t="shared" si="0"/>
        <v>0</v>
      </c>
      <c r="R14" s="19">
        <f t="shared" si="0"/>
        <v>0</v>
      </c>
    </row>
    <row r="15" spans="1:18" ht="14.25" customHeight="1" x14ac:dyDescent="0.2">
      <c r="A15" s="1">
        <v>12</v>
      </c>
      <c r="B15" s="19">
        <f t="shared" si="1"/>
        <v>0.4253777844419524</v>
      </c>
      <c r="C15" s="19">
        <f t="shared" si="0"/>
        <v>1.1925810736372857</v>
      </c>
      <c r="D15" s="19">
        <f t="shared" si="0"/>
        <v>0.476700651519048</v>
      </c>
      <c r="E15" s="19">
        <f t="shared" si="0"/>
        <v>-0.91827201281482007</v>
      </c>
      <c r="F15" s="19">
        <f t="shared" si="0"/>
        <v>0.38579063430692423</v>
      </c>
      <c r="G15" s="19">
        <f t="shared" si="0"/>
        <v>1.1623433267433043</v>
      </c>
      <c r="H15" s="19">
        <f t="shared" si="0"/>
        <v>-0.50231569977867951</v>
      </c>
      <c r="I15" s="19">
        <f t="shared" si="0"/>
        <v>-0.88740487696080439</v>
      </c>
      <c r="J15" s="19">
        <f t="shared" si="0"/>
        <v>-0.73456644094420431</v>
      </c>
      <c r="K15" s="19">
        <f t="shared" si="0"/>
        <v>-0.60366772492773846</v>
      </c>
      <c r="L15" s="19">
        <f t="shared" si="0"/>
        <v>-1.1512718237227251</v>
      </c>
      <c r="M15" s="19">
        <f t="shared" si="0"/>
        <v>-0.79666643026330863</v>
      </c>
      <c r="N15" s="19">
        <f t="shared" si="0"/>
        <v>0</v>
      </c>
      <c r="O15" s="19">
        <f t="shared" si="0"/>
        <v>0</v>
      </c>
      <c r="P15" s="19">
        <f t="shared" si="0"/>
        <v>0</v>
      </c>
      <c r="Q15" s="19">
        <f t="shared" si="0"/>
        <v>0</v>
      </c>
      <c r="R15" s="19">
        <f t="shared" si="0"/>
        <v>0</v>
      </c>
    </row>
    <row r="16" spans="1:18" ht="14.25" customHeight="1" x14ac:dyDescent="0.2">
      <c r="A16" s="1">
        <v>13</v>
      </c>
      <c r="B16" s="19">
        <f t="shared" si="1"/>
        <v>0.4608259331454484</v>
      </c>
      <c r="C16" s="19">
        <f t="shared" si="0"/>
        <v>1.2919628297737262</v>
      </c>
      <c r="D16" s="19">
        <f t="shared" si="0"/>
        <v>0.51642570581230196</v>
      </c>
      <c r="E16" s="19">
        <f t="shared" si="0"/>
        <v>-0.99479468054938835</v>
      </c>
      <c r="F16" s="19">
        <f t="shared" si="0"/>
        <v>0.41793985383250126</v>
      </c>
      <c r="G16" s="19">
        <f t="shared" si="0"/>
        <v>1.2592052706385797</v>
      </c>
      <c r="H16" s="19">
        <f t="shared" si="0"/>
        <v>-0.54417534142690283</v>
      </c>
      <c r="I16" s="19">
        <f t="shared" si="0"/>
        <v>-0.96135528337420473</v>
      </c>
      <c r="J16" s="19">
        <f t="shared" si="0"/>
        <v>-0.79578031102288804</v>
      </c>
      <c r="K16" s="19">
        <f t="shared" si="0"/>
        <v>-0.65397336867171674</v>
      </c>
      <c r="L16" s="19">
        <f t="shared" si="0"/>
        <v>-1.2472111423662855</v>
      </c>
      <c r="M16" s="19">
        <f t="shared" si="0"/>
        <v>-0.86305529945191761</v>
      </c>
      <c r="N16" s="19">
        <f t="shared" si="0"/>
        <v>0</v>
      </c>
      <c r="O16" s="19">
        <f t="shared" si="0"/>
        <v>0</v>
      </c>
      <c r="P16" s="19">
        <f t="shared" si="0"/>
        <v>0</v>
      </c>
      <c r="Q16" s="19">
        <f t="shared" si="0"/>
        <v>0</v>
      </c>
      <c r="R16" s="19">
        <f t="shared" si="0"/>
        <v>0</v>
      </c>
    </row>
    <row r="17" spans="1:18" ht="14.25" customHeight="1" x14ac:dyDescent="0.2">
      <c r="A17" s="1">
        <v>14</v>
      </c>
      <c r="B17" s="19">
        <f t="shared" si="1"/>
        <v>0.49627408184894445</v>
      </c>
      <c r="C17" s="19">
        <f t="shared" si="0"/>
        <v>1.3913445859101665</v>
      </c>
      <c r="D17" s="19">
        <f t="shared" si="0"/>
        <v>0.55615076010555597</v>
      </c>
      <c r="E17" s="19">
        <f t="shared" si="0"/>
        <v>-1.0713173482839569</v>
      </c>
      <c r="F17" s="19">
        <f t="shared" si="0"/>
        <v>0.45008907335807824</v>
      </c>
      <c r="G17" s="19">
        <f t="shared" si="0"/>
        <v>1.356067214533855</v>
      </c>
      <c r="H17" s="19">
        <f t="shared" si="0"/>
        <v>-0.58603498307512614</v>
      </c>
      <c r="I17" s="19">
        <f t="shared" si="0"/>
        <v>-1.0353056897876052</v>
      </c>
      <c r="J17" s="19">
        <f t="shared" si="0"/>
        <v>-0.85699418110157177</v>
      </c>
      <c r="K17" s="19">
        <f t="shared" si="0"/>
        <v>-0.7042790124156949</v>
      </c>
      <c r="L17" s="19">
        <f t="shared" si="0"/>
        <v>-1.3431504610098459</v>
      </c>
      <c r="M17" s="19">
        <f t="shared" si="0"/>
        <v>-0.9294441686405267</v>
      </c>
      <c r="N17" s="19">
        <f t="shared" si="0"/>
        <v>0</v>
      </c>
      <c r="O17" s="19">
        <f t="shared" si="0"/>
        <v>0</v>
      </c>
      <c r="P17" s="19">
        <f t="shared" si="0"/>
        <v>0</v>
      </c>
      <c r="Q17" s="19">
        <f t="shared" si="0"/>
        <v>0</v>
      </c>
      <c r="R17" s="19">
        <f t="shared" si="0"/>
        <v>0</v>
      </c>
    </row>
    <row r="18" spans="1:18" ht="14.25" customHeight="1" x14ac:dyDescent="0.2">
      <c r="A18" s="1">
        <v>15</v>
      </c>
      <c r="B18" s="19">
        <f t="shared" si="1"/>
        <v>0.5317222305524405</v>
      </c>
      <c r="C18" s="19">
        <f t="shared" si="0"/>
        <v>1.490726342046607</v>
      </c>
      <c r="D18" s="19">
        <f t="shared" si="0"/>
        <v>0.59587581439880999</v>
      </c>
      <c r="E18" s="19">
        <f t="shared" si="0"/>
        <v>-1.1478400160185251</v>
      </c>
      <c r="F18" s="19">
        <f t="shared" si="0"/>
        <v>0.48223829288365527</v>
      </c>
      <c r="G18" s="19">
        <f t="shared" si="0"/>
        <v>1.4529291584291304</v>
      </c>
      <c r="H18" s="19">
        <f t="shared" si="0"/>
        <v>-0.62789462472334945</v>
      </c>
      <c r="I18" s="19">
        <f t="shared" si="0"/>
        <v>-1.1092560962010054</v>
      </c>
      <c r="J18" s="19">
        <f t="shared" si="0"/>
        <v>-0.91820805118025539</v>
      </c>
      <c r="K18" s="19">
        <f t="shared" si="0"/>
        <v>-0.75458465615967318</v>
      </c>
      <c r="L18" s="19">
        <f t="shared" si="0"/>
        <v>-1.4390897796534063</v>
      </c>
      <c r="M18" s="19">
        <f t="shared" si="0"/>
        <v>-0.99583303782913568</v>
      </c>
      <c r="N18" s="19">
        <f t="shared" si="0"/>
        <v>0</v>
      </c>
      <c r="O18" s="19">
        <f t="shared" si="0"/>
        <v>0</v>
      </c>
      <c r="P18" s="19">
        <f t="shared" si="0"/>
        <v>0</v>
      </c>
      <c r="Q18" s="19">
        <f t="shared" si="0"/>
        <v>0</v>
      </c>
      <c r="R18" s="19">
        <f t="shared" si="0"/>
        <v>0</v>
      </c>
    </row>
    <row r="19" spans="1:18" ht="14.25" customHeight="1" x14ac:dyDescent="0.2">
      <c r="A19" s="1">
        <v>16</v>
      </c>
      <c r="B19" s="19">
        <f t="shared" si="1"/>
        <v>0.5671703792559365</v>
      </c>
      <c r="C19" s="19">
        <f t="shared" si="0"/>
        <v>1.5901080981830475</v>
      </c>
      <c r="D19" s="19">
        <f t="shared" si="0"/>
        <v>0.635600868692064</v>
      </c>
      <c r="E19" s="19">
        <f t="shared" si="0"/>
        <v>-1.2243626837530934</v>
      </c>
      <c r="F19" s="19">
        <f t="shared" si="0"/>
        <v>0.51438751240923231</v>
      </c>
      <c r="G19" s="19">
        <f t="shared" si="0"/>
        <v>1.5497911023244058</v>
      </c>
      <c r="H19" s="19">
        <f t="shared" si="0"/>
        <v>-0.66975426637157276</v>
      </c>
      <c r="I19" s="19">
        <f t="shared" si="0"/>
        <v>-1.1832065026144059</v>
      </c>
      <c r="J19" s="19">
        <f t="shared" si="0"/>
        <v>-0.97942192125893912</v>
      </c>
      <c r="K19" s="19">
        <f t="shared" si="0"/>
        <v>-0.80489029990365135</v>
      </c>
      <c r="L19" s="19">
        <f t="shared" si="0"/>
        <v>-1.5350290982969668</v>
      </c>
      <c r="M19" s="19">
        <f t="shared" si="0"/>
        <v>-1.0622219070177448</v>
      </c>
      <c r="N19" s="19">
        <f t="shared" si="0"/>
        <v>0</v>
      </c>
      <c r="O19" s="19">
        <f t="shared" si="0"/>
        <v>0</v>
      </c>
      <c r="P19" s="19">
        <f t="shared" si="0"/>
        <v>0</v>
      </c>
      <c r="Q19" s="19">
        <f t="shared" si="0"/>
        <v>0</v>
      </c>
      <c r="R19" s="19">
        <f t="shared" si="0"/>
        <v>0</v>
      </c>
    </row>
    <row r="20" spans="1:18" ht="14.25" customHeight="1" x14ac:dyDescent="0.2">
      <c r="A20" s="1">
        <v>17</v>
      </c>
      <c r="B20" s="19">
        <f t="shared" si="1"/>
        <v>0.60261852795943249</v>
      </c>
      <c r="C20" s="19">
        <f t="shared" ref="C20:R34" si="2">C$4*$A20</f>
        <v>1.6894898543194881</v>
      </c>
      <c r="D20" s="19">
        <f t="shared" si="2"/>
        <v>0.67532592298531802</v>
      </c>
      <c r="E20" s="19">
        <f t="shared" si="2"/>
        <v>-1.3008853514876617</v>
      </c>
      <c r="F20" s="19">
        <f t="shared" si="2"/>
        <v>0.54653673193480934</v>
      </c>
      <c r="G20" s="19">
        <f t="shared" si="2"/>
        <v>1.6466530462196811</v>
      </c>
      <c r="H20" s="19">
        <f t="shared" si="2"/>
        <v>-0.71161390801979607</v>
      </c>
      <c r="I20" s="19">
        <f t="shared" si="2"/>
        <v>-1.2571569090278063</v>
      </c>
      <c r="J20" s="19">
        <f t="shared" si="2"/>
        <v>-1.0406357913376227</v>
      </c>
      <c r="K20" s="19">
        <f t="shared" si="2"/>
        <v>-0.85519594364762952</v>
      </c>
      <c r="L20" s="19">
        <f t="shared" si="2"/>
        <v>-1.6309684169405272</v>
      </c>
      <c r="M20" s="19">
        <f t="shared" si="2"/>
        <v>-1.1286107762063537</v>
      </c>
      <c r="N20" s="19">
        <f t="shared" si="2"/>
        <v>0</v>
      </c>
      <c r="O20" s="19">
        <f t="shared" si="2"/>
        <v>0</v>
      </c>
      <c r="P20" s="19">
        <f t="shared" si="2"/>
        <v>0</v>
      </c>
      <c r="Q20" s="19">
        <f t="shared" si="2"/>
        <v>0</v>
      </c>
      <c r="R20" s="19">
        <f t="shared" si="2"/>
        <v>0</v>
      </c>
    </row>
    <row r="21" spans="1:18" ht="14.25" customHeight="1" x14ac:dyDescent="0.2">
      <c r="A21" s="1">
        <v>18</v>
      </c>
      <c r="B21" s="19">
        <f t="shared" si="1"/>
        <v>0.6380666766629286</v>
      </c>
      <c r="C21" s="19">
        <f t="shared" si="2"/>
        <v>1.7888716104559286</v>
      </c>
      <c r="D21" s="19">
        <f t="shared" si="2"/>
        <v>0.71505097727857203</v>
      </c>
      <c r="E21" s="19">
        <f t="shared" si="2"/>
        <v>-1.37740801922223</v>
      </c>
      <c r="F21" s="19">
        <f t="shared" si="2"/>
        <v>0.57868595146038637</v>
      </c>
      <c r="G21" s="19">
        <f t="shared" si="2"/>
        <v>1.7435149901149565</v>
      </c>
      <c r="H21" s="19">
        <f t="shared" si="2"/>
        <v>-0.75347354966801938</v>
      </c>
      <c r="I21" s="19">
        <f t="shared" si="2"/>
        <v>-1.3311073154412065</v>
      </c>
      <c r="J21" s="19">
        <f t="shared" si="2"/>
        <v>-1.1018496614163065</v>
      </c>
      <c r="K21" s="19">
        <f t="shared" si="2"/>
        <v>-0.9055015873916078</v>
      </c>
      <c r="L21" s="19">
        <f t="shared" si="2"/>
        <v>-1.7269077355840876</v>
      </c>
      <c r="M21" s="19">
        <f t="shared" si="2"/>
        <v>-1.194999645394963</v>
      </c>
      <c r="N21" s="19">
        <f t="shared" si="2"/>
        <v>0</v>
      </c>
      <c r="O21" s="19">
        <f t="shared" si="2"/>
        <v>0</v>
      </c>
      <c r="P21" s="19">
        <f t="shared" si="2"/>
        <v>0</v>
      </c>
      <c r="Q21" s="19">
        <f t="shared" si="2"/>
        <v>0</v>
      </c>
      <c r="R21" s="19">
        <f t="shared" si="2"/>
        <v>0</v>
      </c>
    </row>
    <row r="22" spans="1:18" ht="14.25" customHeight="1" x14ac:dyDescent="0.2">
      <c r="A22" s="1">
        <v>19</v>
      </c>
      <c r="B22" s="19">
        <f t="shared" si="1"/>
        <v>0.6735148253664246</v>
      </c>
      <c r="C22" s="19">
        <f t="shared" si="2"/>
        <v>1.8882533665923689</v>
      </c>
      <c r="D22" s="19">
        <f t="shared" si="2"/>
        <v>0.75477603157182604</v>
      </c>
      <c r="E22" s="19">
        <f t="shared" si="2"/>
        <v>-1.4539306869567985</v>
      </c>
      <c r="F22" s="19">
        <f t="shared" si="2"/>
        <v>0.6108351709859634</v>
      </c>
      <c r="G22" s="19">
        <f t="shared" si="2"/>
        <v>1.8403769340102318</v>
      </c>
      <c r="H22" s="19">
        <f t="shared" si="2"/>
        <v>-0.79533319131624269</v>
      </c>
      <c r="I22" s="19">
        <f t="shared" si="2"/>
        <v>-1.405057721854607</v>
      </c>
      <c r="J22" s="19">
        <f t="shared" si="2"/>
        <v>-1.1630635314949902</v>
      </c>
      <c r="K22" s="19">
        <f t="shared" si="2"/>
        <v>-0.95580723113558597</v>
      </c>
      <c r="L22" s="19">
        <f t="shared" si="2"/>
        <v>-1.822847054227648</v>
      </c>
      <c r="M22" s="19">
        <f t="shared" si="2"/>
        <v>-1.2613885145835719</v>
      </c>
      <c r="N22" s="19">
        <f t="shared" si="2"/>
        <v>0</v>
      </c>
      <c r="O22" s="19">
        <f t="shared" si="2"/>
        <v>0</v>
      </c>
      <c r="P22" s="19">
        <f t="shared" si="2"/>
        <v>0</v>
      </c>
      <c r="Q22" s="19">
        <f t="shared" si="2"/>
        <v>0</v>
      </c>
      <c r="R22" s="19">
        <f t="shared" si="2"/>
        <v>0</v>
      </c>
    </row>
    <row r="23" spans="1:18" ht="14.25" customHeight="1" x14ac:dyDescent="0.2">
      <c r="A23" s="1">
        <v>20</v>
      </c>
      <c r="B23" s="19">
        <f t="shared" si="1"/>
        <v>0.70896297406992059</v>
      </c>
      <c r="C23" s="19">
        <f t="shared" si="2"/>
        <v>1.9876351227288094</v>
      </c>
      <c r="D23" s="19">
        <f t="shared" si="2"/>
        <v>0.79450108586508006</v>
      </c>
      <c r="E23" s="19">
        <f t="shared" si="2"/>
        <v>-1.5304533546913668</v>
      </c>
      <c r="F23" s="19">
        <f t="shared" si="2"/>
        <v>0.64298439051154044</v>
      </c>
      <c r="G23" s="19">
        <f t="shared" si="2"/>
        <v>1.9372388779055072</v>
      </c>
      <c r="H23" s="19">
        <f t="shared" si="2"/>
        <v>-0.837192832964466</v>
      </c>
      <c r="I23" s="19">
        <f t="shared" si="2"/>
        <v>-1.4790081282680072</v>
      </c>
      <c r="J23" s="19">
        <f t="shared" si="2"/>
        <v>-1.2242774015736739</v>
      </c>
      <c r="K23" s="19">
        <f t="shared" si="2"/>
        <v>-1.0061128748795642</v>
      </c>
      <c r="L23" s="19">
        <f t="shared" si="2"/>
        <v>-1.9187863728712085</v>
      </c>
      <c r="M23" s="19">
        <f t="shared" si="2"/>
        <v>-1.3277773837721809</v>
      </c>
      <c r="N23" s="19">
        <f t="shared" si="2"/>
        <v>0</v>
      </c>
      <c r="O23" s="19">
        <f t="shared" si="2"/>
        <v>0</v>
      </c>
      <c r="P23" s="19">
        <f t="shared" si="2"/>
        <v>0</v>
      </c>
      <c r="Q23" s="19">
        <f t="shared" si="2"/>
        <v>0</v>
      </c>
      <c r="R23" s="19">
        <f t="shared" si="2"/>
        <v>0</v>
      </c>
    </row>
    <row r="24" spans="1:18" ht="14.25" customHeight="1" x14ac:dyDescent="0.2">
      <c r="A24" s="1">
        <v>21</v>
      </c>
      <c r="B24" s="19">
        <f t="shared" si="1"/>
        <v>0.7444111227734167</v>
      </c>
      <c r="C24" s="19">
        <f t="shared" si="2"/>
        <v>2.0870168788652501</v>
      </c>
      <c r="D24" s="19">
        <f t="shared" si="2"/>
        <v>0.83422614015833396</v>
      </c>
      <c r="E24" s="19">
        <f t="shared" si="2"/>
        <v>-1.6069760224259351</v>
      </c>
      <c r="F24" s="19">
        <f t="shared" si="2"/>
        <v>0.67513361003711736</v>
      </c>
      <c r="G24" s="19">
        <f t="shared" si="2"/>
        <v>2.0341008218007826</v>
      </c>
      <c r="H24" s="19">
        <f t="shared" si="2"/>
        <v>-0.87905247461268921</v>
      </c>
      <c r="I24" s="19">
        <f t="shared" si="2"/>
        <v>-1.5529585346814077</v>
      </c>
      <c r="J24" s="19">
        <f t="shared" si="2"/>
        <v>-1.2854912716523577</v>
      </c>
      <c r="K24" s="19">
        <f t="shared" si="2"/>
        <v>-1.0564185186235424</v>
      </c>
      <c r="L24" s="19">
        <f t="shared" si="2"/>
        <v>-2.0147256915147689</v>
      </c>
      <c r="M24" s="19">
        <f t="shared" si="2"/>
        <v>-1.3941662529607901</v>
      </c>
      <c r="N24" s="19">
        <f t="shared" si="2"/>
        <v>0</v>
      </c>
      <c r="O24" s="19">
        <f t="shared" si="2"/>
        <v>0</v>
      </c>
      <c r="P24" s="19">
        <f t="shared" si="2"/>
        <v>0</v>
      </c>
      <c r="Q24" s="19">
        <f t="shared" si="2"/>
        <v>0</v>
      </c>
      <c r="R24" s="19">
        <f t="shared" si="2"/>
        <v>0</v>
      </c>
    </row>
    <row r="25" spans="1:18" ht="14.25" customHeight="1" x14ac:dyDescent="0.2">
      <c r="A25" s="1">
        <v>22</v>
      </c>
      <c r="B25" s="19">
        <f t="shared" si="1"/>
        <v>0.7798592714769127</v>
      </c>
      <c r="C25" s="19">
        <f t="shared" si="2"/>
        <v>2.1863986350016904</v>
      </c>
      <c r="D25" s="19">
        <f t="shared" si="2"/>
        <v>0.87395119445158798</v>
      </c>
      <c r="E25" s="19">
        <f t="shared" si="2"/>
        <v>-1.6834986901605036</v>
      </c>
      <c r="F25" s="19">
        <f t="shared" si="2"/>
        <v>0.70728282956269439</v>
      </c>
      <c r="G25" s="19">
        <f t="shared" si="2"/>
        <v>2.1309627656960579</v>
      </c>
      <c r="H25" s="19">
        <f t="shared" si="2"/>
        <v>-0.92091211626091252</v>
      </c>
      <c r="I25" s="19">
        <f t="shared" si="2"/>
        <v>-1.6269089410948081</v>
      </c>
      <c r="J25" s="19">
        <f t="shared" si="2"/>
        <v>-1.3467051417310414</v>
      </c>
      <c r="K25" s="19">
        <f t="shared" si="2"/>
        <v>-1.1067241623675206</v>
      </c>
      <c r="L25" s="19">
        <f t="shared" si="2"/>
        <v>-2.1106650101583293</v>
      </c>
      <c r="M25" s="19">
        <f t="shared" si="2"/>
        <v>-1.4605551221493991</v>
      </c>
      <c r="N25" s="19">
        <f t="shared" si="2"/>
        <v>0</v>
      </c>
      <c r="O25" s="19">
        <f t="shared" si="2"/>
        <v>0</v>
      </c>
      <c r="P25" s="19">
        <f t="shared" si="2"/>
        <v>0</v>
      </c>
      <c r="Q25" s="19">
        <f t="shared" si="2"/>
        <v>0</v>
      </c>
      <c r="R25" s="19">
        <f t="shared" si="2"/>
        <v>0</v>
      </c>
    </row>
    <row r="26" spans="1:18" ht="14.25" customHeight="1" x14ac:dyDescent="0.2">
      <c r="A26" s="1">
        <v>23</v>
      </c>
      <c r="B26" s="19">
        <f t="shared" si="1"/>
        <v>0.81530742018040869</v>
      </c>
      <c r="C26" s="19">
        <f t="shared" si="2"/>
        <v>2.2857803911381307</v>
      </c>
      <c r="D26" s="19">
        <f t="shared" si="2"/>
        <v>0.91367624874484199</v>
      </c>
      <c r="E26" s="19">
        <f t="shared" si="2"/>
        <v>-1.7600213578950719</v>
      </c>
      <c r="F26" s="19">
        <f t="shared" si="2"/>
        <v>0.73943204908827143</v>
      </c>
      <c r="G26" s="19">
        <f t="shared" si="2"/>
        <v>2.2278247095913333</v>
      </c>
      <c r="H26" s="19">
        <f t="shared" si="2"/>
        <v>-0.96277175790913583</v>
      </c>
      <c r="I26" s="19">
        <f t="shared" si="2"/>
        <v>-1.7008593475082083</v>
      </c>
      <c r="J26" s="19">
        <f t="shared" si="2"/>
        <v>-1.4079190118097249</v>
      </c>
      <c r="K26" s="19">
        <f t="shared" si="2"/>
        <v>-1.1570298061114987</v>
      </c>
      <c r="L26" s="19">
        <f t="shared" si="2"/>
        <v>-2.2066043288018897</v>
      </c>
      <c r="M26" s="19">
        <f t="shared" si="2"/>
        <v>-1.5269439913380081</v>
      </c>
      <c r="N26" s="19">
        <f t="shared" si="2"/>
        <v>0</v>
      </c>
      <c r="O26" s="19">
        <f t="shared" si="2"/>
        <v>0</v>
      </c>
      <c r="P26" s="19">
        <f t="shared" si="2"/>
        <v>0</v>
      </c>
      <c r="Q26" s="19">
        <f t="shared" si="2"/>
        <v>0</v>
      </c>
      <c r="R26" s="19">
        <f t="shared" si="2"/>
        <v>0</v>
      </c>
    </row>
    <row r="27" spans="1:18" ht="14.25" customHeight="1" x14ac:dyDescent="0.2">
      <c r="A27" s="1">
        <v>24</v>
      </c>
      <c r="B27" s="19">
        <f t="shared" si="1"/>
        <v>0.8507555688839048</v>
      </c>
      <c r="C27" s="19">
        <f t="shared" si="2"/>
        <v>2.3851621472745714</v>
      </c>
      <c r="D27" s="19">
        <f t="shared" si="2"/>
        <v>0.953401303038096</v>
      </c>
      <c r="E27" s="19">
        <f t="shared" si="2"/>
        <v>-1.8365440256296401</v>
      </c>
      <c r="F27" s="19">
        <f t="shared" si="2"/>
        <v>0.77158126861384846</v>
      </c>
      <c r="G27" s="19">
        <f t="shared" si="2"/>
        <v>2.3246866534866086</v>
      </c>
      <c r="H27" s="19">
        <f t="shared" si="2"/>
        <v>-1.004631399557359</v>
      </c>
      <c r="I27" s="19">
        <f t="shared" si="2"/>
        <v>-1.7748097539216088</v>
      </c>
      <c r="J27" s="19">
        <f t="shared" si="2"/>
        <v>-1.4691328818884086</v>
      </c>
      <c r="K27" s="19">
        <f t="shared" si="2"/>
        <v>-1.2073354498554769</v>
      </c>
      <c r="L27" s="19">
        <f t="shared" si="2"/>
        <v>-2.3025436474454501</v>
      </c>
      <c r="M27" s="19">
        <f t="shared" si="2"/>
        <v>-1.5933328605266173</v>
      </c>
      <c r="N27" s="19">
        <f t="shared" si="2"/>
        <v>0</v>
      </c>
      <c r="O27" s="19">
        <f t="shared" si="2"/>
        <v>0</v>
      </c>
      <c r="P27" s="19">
        <f t="shared" si="2"/>
        <v>0</v>
      </c>
      <c r="Q27" s="19">
        <f t="shared" si="2"/>
        <v>0</v>
      </c>
      <c r="R27" s="19">
        <f t="shared" si="2"/>
        <v>0</v>
      </c>
    </row>
    <row r="28" spans="1:18" ht="14.25" customHeight="1" x14ac:dyDescent="0.2">
      <c r="A28" s="1">
        <v>25</v>
      </c>
      <c r="B28" s="19">
        <f t="shared" si="1"/>
        <v>0.8862037175874008</v>
      </c>
      <c r="C28" s="19">
        <f t="shared" si="2"/>
        <v>2.4845439034110117</v>
      </c>
      <c r="D28" s="19">
        <f t="shared" si="2"/>
        <v>0.99312635733135002</v>
      </c>
      <c r="E28" s="19">
        <f t="shared" si="2"/>
        <v>-1.9130666933642084</v>
      </c>
      <c r="F28" s="19">
        <f t="shared" si="2"/>
        <v>0.80373048813942549</v>
      </c>
      <c r="G28" s="19">
        <f t="shared" si="2"/>
        <v>2.421548597381884</v>
      </c>
      <c r="H28" s="19">
        <f t="shared" si="2"/>
        <v>-1.0464910412055823</v>
      </c>
      <c r="I28" s="19">
        <f t="shared" si="2"/>
        <v>-1.8487601603350092</v>
      </c>
      <c r="J28" s="19">
        <f t="shared" si="2"/>
        <v>-1.5303467519670924</v>
      </c>
      <c r="K28" s="19">
        <f t="shared" si="2"/>
        <v>-1.2576410935994553</v>
      </c>
      <c r="L28" s="19">
        <f t="shared" si="2"/>
        <v>-2.3984829660890106</v>
      </c>
      <c r="M28" s="19">
        <f t="shared" si="2"/>
        <v>-1.6597217297152262</v>
      </c>
      <c r="N28" s="19">
        <f t="shared" si="2"/>
        <v>0</v>
      </c>
      <c r="O28" s="19">
        <f t="shared" si="2"/>
        <v>0</v>
      </c>
      <c r="P28" s="19">
        <f t="shared" si="2"/>
        <v>0</v>
      </c>
      <c r="Q28" s="19">
        <f t="shared" si="2"/>
        <v>0</v>
      </c>
      <c r="R28" s="19">
        <f t="shared" si="2"/>
        <v>0</v>
      </c>
    </row>
    <row r="29" spans="1:18" ht="14.25" customHeight="1" x14ac:dyDescent="0.2">
      <c r="A29" s="1">
        <v>26</v>
      </c>
      <c r="B29" s="19">
        <f t="shared" si="1"/>
        <v>0.92165186629089679</v>
      </c>
      <c r="C29" s="19">
        <f t="shared" si="2"/>
        <v>2.5839256595474525</v>
      </c>
      <c r="D29" s="19">
        <f t="shared" si="2"/>
        <v>1.0328514116246039</v>
      </c>
      <c r="E29" s="19">
        <f t="shared" si="2"/>
        <v>-1.9895893610987767</v>
      </c>
      <c r="F29" s="19">
        <f t="shared" si="2"/>
        <v>0.83587970766500252</v>
      </c>
      <c r="G29" s="19">
        <f t="shared" si="2"/>
        <v>2.5184105412771594</v>
      </c>
      <c r="H29" s="19">
        <f t="shared" si="2"/>
        <v>-1.0883506828538057</v>
      </c>
      <c r="I29" s="19">
        <f t="shared" si="2"/>
        <v>-1.9227105667484095</v>
      </c>
      <c r="J29" s="19">
        <f t="shared" si="2"/>
        <v>-1.5915606220457761</v>
      </c>
      <c r="K29" s="19">
        <f t="shared" si="2"/>
        <v>-1.3079467373434335</v>
      </c>
      <c r="L29" s="19">
        <f t="shared" si="2"/>
        <v>-2.494422284732571</v>
      </c>
      <c r="M29" s="19">
        <f t="shared" si="2"/>
        <v>-1.7261105989038352</v>
      </c>
      <c r="N29" s="19">
        <f t="shared" si="2"/>
        <v>0</v>
      </c>
      <c r="O29" s="19">
        <f t="shared" si="2"/>
        <v>0</v>
      </c>
      <c r="P29" s="19">
        <f t="shared" si="2"/>
        <v>0</v>
      </c>
      <c r="Q29" s="19">
        <f t="shared" si="2"/>
        <v>0</v>
      </c>
      <c r="R29" s="19">
        <f t="shared" si="2"/>
        <v>0</v>
      </c>
    </row>
    <row r="30" spans="1:18" ht="14.25" customHeight="1" x14ac:dyDescent="0.2">
      <c r="A30" s="1">
        <v>27</v>
      </c>
      <c r="B30" s="19">
        <f t="shared" si="1"/>
        <v>0.95710001499439279</v>
      </c>
      <c r="C30" s="19">
        <f t="shared" si="2"/>
        <v>2.6833074156838927</v>
      </c>
      <c r="D30" s="19">
        <f t="shared" si="2"/>
        <v>1.072576465917858</v>
      </c>
      <c r="E30" s="19">
        <f t="shared" si="2"/>
        <v>-2.066112028833345</v>
      </c>
      <c r="F30" s="19">
        <f t="shared" si="2"/>
        <v>0.86802892719057956</v>
      </c>
      <c r="G30" s="19">
        <f t="shared" si="2"/>
        <v>2.6152724851724347</v>
      </c>
      <c r="H30" s="19">
        <f t="shared" si="2"/>
        <v>-1.130210324502029</v>
      </c>
      <c r="I30" s="19">
        <f t="shared" si="2"/>
        <v>-1.9966609731618099</v>
      </c>
      <c r="J30" s="19">
        <f t="shared" si="2"/>
        <v>-1.6527744921244598</v>
      </c>
      <c r="K30" s="19">
        <f t="shared" si="2"/>
        <v>-1.3582523810874116</v>
      </c>
      <c r="L30" s="19">
        <f t="shared" si="2"/>
        <v>-2.5903616033761314</v>
      </c>
      <c r="M30" s="19">
        <f t="shared" si="2"/>
        <v>-1.7924994680924442</v>
      </c>
      <c r="N30" s="19">
        <f t="shared" si="2"/>
        <v>0</v>
      </c>
      <c r="O30" s="19">
        <f t="shared" si="2"/>
        <v>0</v>
      </c>
      <c r="P30" s="19">
        <f t="shared" si="2"/>
        <v>0</v>
      </c>
      <c r="Q30" s="19">
        <f t="shared" si="2"/>
        <v>0</v>
      </c>
      <c r="R30" s="19">
        <f t="shared" si="2"/>
        <v>0</v>
      </c>
    </row>
    <row r="31" spans="1:18" ht="14.25" customHeight="1" x14ac:dyDescent="0.2">
      <c r="A31" s="1">
        <v>28</v>
      </c>
      <c r="B31" s="19">
        <f t="shared" si="1"/>
        <v>0.9925481636978889</v>
      </c>
      <c r="C31" s="19">
        <f t="shared" si="2"/>
        <v>2.782689171820333</v>
      </c>
      <c r="D31" s="19">
        <f t="shared" si="2"/>
        <v>1.1123015202111119</v>
      </c>
      <c r="E31" s="19">
        <f t="shared" si="2"/>
        <v>-2.1426346965679137</v>
      </c>
      <c r="F31" s="19">
        <f t="shared" si="2"/>
        <v>0.90017814671615648</v>
      </c>
      <c r="G31" s="19">
        <f t="shared" si="2"/>
        <v>2.7121344290677101</v>
      </c>
      <c r="H31" s="19">
        <f t="shared" si="2"/>
        <v>-1.1720699661502523</v>
      </c>
      <c r="I31" s="19">
        <f t="shared" si="2"/>
        <v>-2.0706113795752104</v>
      </c>
      <c r="J31" s="19">
        <f t="shared" si="2"/>
        <v>-1.7139883622031435</v>
      </c>
      <c r="K31" s="19">
        <f t="shared" si="2"/>
        <v>-1.4085580248313898</v>
      </c>
      <c r="L31" s="19">
        <f t="shared" si="2"/>
        <v>-2.6863009220196918</v>
      </c>
      <c r="M31" s="19">
        <f t="shared" si="2"/>
        <v>-1.8588883372810534</v>
      </c>
      <c r="N31" s="19">
        <f t="shared" si="2"/>
        <v>0</v>
      </c>
      <c r="O31" s="19">
        <f t="shared" si="2"/>
        <v>0</v>
      </c>
      <c r="P31" s="19">
        <f t="shared" si="2"/>
        <v>0</v>
      </c>
      <c r="Q31" s="19">
        <f t="shared" si="2"/>
        <v>0</v>
      </c>
      <c r="R31" s="19">
        <f t="shared" si="2"/>
        <v>0</v>
      </c>
    </row>
    <row r="32" spans="1:18" ht="14.25" customHeight="1" x14ac:dyDescent="0.2">
      <c r="A32" s="1">
        <v>29</v>
      </c>
      <c r="B32" s="19">
        <f t="shared" si="1"/>
        <v>1.0279963124013849</v>
      </c>
      <c r="C32" s="19">
        <f t="shared" si="2"/>
        <v>2.8820709279567738</v>
      </c>
      <c r="D32" s="19">
        <f t="shared" si="2"/>
        <v>1.1520265745043661</v>
      </c>
      <c r="E32" s="19">
        <f t="shared" si="2"/>
        <v>-2.219157364302482</v>
      </c>
      <c r="F32" s="19">
        <f t="shared" si="2"/>
        <v>0.93232736624173351</v>
      </c>
      <c r="G32" s="19">
        <f t="shared" si="2"/>
        <v>2.8089963729629854</v>
      </c>
      <c r="H32" s="19">
        <f t="shared" si="2"/>
        <v>-1.2139296077984756</v>
      </c>
      <c r="I32" s="19">
        <f t="shared" si="2"/>
        <v>-2.1445617859886106</v>
      </c>
      <c r="J32" s="19">
        <f t="shared" si="2"/>
        <v>-1.7752022322818271</v>
      </c>
      <c r="K32" s="19">
        <f t="shared" si="2"/>
        <v>-1.458863668575368</v>
      </c>
      <c r="L32" s="19">
        <f t="shared" si="2"/>
        <v>-2.7822402406632523</v>
      </c>
      <c r="M32" s="19">
        <f t="shared" si="2"/>
        <v>-1.9252772064696624</v>
      </c>
      <c r="N32" s="19">
        <f t="shared" si="2"/>
        <v>0</v>
      </c>
      <c r="O32" s="19">
        <f t="shared" si="2"/>
        <v>0</v>
      </c>
      <c r="P32" s="19">
        <f t="shared" si="2"/>
        <v>0</v>
      </c>
      <c r="Q32" s="19">
        <f t="shared" si="2"/>
        <v>0</v>
      </c>
      <c r="R32" s="19">
        <f t="shared" si="2"/>
        <v>0</v>
      </c>
    </row>
    <row r="33" spans="1:18" ht="14.25" customHeight="1" x14ac:dyDescent="0.2">
      <c r="A33" s="1">
        <v>30</v>
      </c>
      <c r="B33" s="19">
        <f t="shared" si="1"/>
        <v>1.063444461104881</v>
      </c>
      <c r="C33" s="19">
        <f t="shared" si="2"/>
        <v>2.9814526840932141</v>
      </c>
      <c r="D33" s="19">
        <f t="shared" si="2"/>
        <v>1.19175162879762</v>
      </c>
      <c r="E33" s="19">
        <f t="shared" si="2"/>
        <v>-2.2956800320370503</v>
      </c>
      <c r="F33" s="19">
        <f t="shared" si="2"/>
        <v>0.96447658576731055</v>
      </c>
      <c r="G33" s="19">
        <f t="shared" si="2"/>
        <v>2.9058583168582608</v>
      </c>
      <c r="H33" s="19">
        <f t="shared" si="2"/>
        <v>-1.2557892494466989</v>
      </c>
      <c r="I33" s="19">
        <f t="shared" si="2"/>
        <v>-2.2185121924020108</v>
      </c>
      <c r="J33" s="19">
        <f t="shared" si="2"/>
        <v>-1.8364161023605108</v>
      </c>
      <c r="K33" s="19">
        <f t="shared" si="2"/>
        <v>-1.5091693123193464</v>
      </c>
      <c r="L33" s="19">
        <f t="shared" si="2"/>
        <v>-2.8781795593068127</v>
      </c>
      <c r="M33" s="19">
        <f t="shared" si="2"/>
        <v>-1.9916660756582714</v>
      </c>
      <c r="N33" s="19">
        <f t="shared" si="2"/>
        <v>0</v>
      </c>
      <c r="O33" s="19">
        <f t="shared" si="2"/>
        <v>0</v>
      </c>
      <c r="P33" s="19">
        <f t="shared" si="2"/>
        <v>0</v>
      </c>
      <c r="Q33" s="19">
        <f t="shared" si="2"/>
        <v>0</v>
      </c>
      <c r="R33" s="19">
        <f t="shared" si="2"/>
        <v>0</v>
      </c>
    </row>
    <row r="34" spans="1:18" ht="14.25" customHeight="1" x14ac:dyDescent="0.2">
      <c r="A34" s="1">
        <v>31</v>
      </c>
      <c r="B34" s="19">
        <f t="shared" si="1"/>
        <v>1.0988926098083769</v>
      </c>
      <c r="C34" s="19">
        <f t="shared" si="2"/>
        <v>3.0808344402296548</v>
      </c>
      <c r="D34" s="19">
        <f t="shared" si="2"/>
        <v>1.2314766830908741</v>
      </c>
      <c r="E34" s="19">
        <f t="shared" si="2"/>
        <v>-2.3722026997716186</v>
      </c>
      <c r="F34" s="19">
        <f t="shared" ref="C34:R48" si="3">F$4*$A34</f>
        <v>0.99662580529288758</v>
      </c>
      <c r="G34" s="19">
        <f t="shared" si="3"/>
        <v>3.0027202607535362</v>
      </c>
      <c r="H34" s="19">
        <f t="shared" si="3"/>
        <v>-1.2976488910949222</v>
      </c>
      <c r="I34" s="19">
        <f t="shared" si="3"/>
        <v>-2.2924625988154115</v>
      </c>
      <c r="J34" s="19">
        <f t="shared" si="3"/>
        <v>-1.8976299724391945</v>
      </c>
      <c r="K34" s="19">
        <f t="shared" si="3"/>
        <v>-1.5594749560633245</v>
      </c>
      <c r="L34" s="19">
        <f t="shared" si="3"/>
        <v>-2.9741188779503731</v>
      </c>
      <c r="M34" s="19">
        <f t="shared" si="3"/>
        <v>-2.0580549448468806</v>
      </c>
      <c r="N34" s="19">
        <f t="shared" si="3"/>
        <v>0</v>
      </c>
      <c r="O34" s="19">
        <f t="shared" si="3"/>
        <v>0</v>
      </c>
      <c r="P34" s="19">
        <f t="shared" si="3"/>
        <v>0</v>
      </c>
      <c r="Q34" s="19">
        <f t="shared" si="3"/>
        <v>0</v>
      </c>
      <c r="R34" s="19">
        <f t="shared" si="3"/>
        <v>0</v>
      </c>
    </row>
    <row r="35" spans="1:18" ht="14.25" customHeight="1" x14ac:dyDescent="0.2">
      <c r="A35" s="1">
        <v>32</v>
      </c>
      <c r="B35" s="19">
        <f t="shared" si="1"/>
        <v>1.134340758511873</v>
      </c>
      <c r="C35" s="19">
        <f t="shared" si="3"/>
        <v>3.1802161963660951</v>
      </c>
      <c r="D35" s="19">
        <f t="shared" si="3"/>
        <v>1.271201737384128</v>
      </c>
      <c r="E35" s="19">
        <f t="shared" si="3"/>
        <v>-2.4487253675061869</v>
      </c>
      <c r="F35" s="19">
        <f t="shared" si="3"/>
        <v>1.0287750248184646</v>
      </c>
      <c r="G35" s="19">
        <f t="shared" si="3"/>
        <v>3.0995822046488115</v>
      </c>
      <c r="H35" s="19">
        <f t="shared" si="3"/>
        <v>-1.3395085327431455</v>
      </c>
      <c r="I35" s="19">
        <f t="shared" si="3"/>
        <v>-2.3664130052288117</v>
      </c>
      <c r="J35" s="19">
        <f t="shared" si="3"/>
        <v>-1.9588438425178782</v>
      </c>
      <c r="K35" s="19">
        <f t="shared" si="3"/>
        <v>-1.6097805998073027</v>
      </c>
      <c r="L35" s="19">
        <f t="shared" si="3"/>
        <v>-3.0700581965939335</v>
      </c>
      <c r="M35" s="19">
        <f t="shared" si="3"/>
        <v>-2.1244438140354895</v>
      </c>
      <c r="N35" s="19">
        <f t="shared" si="3"/>
        <v>0</v>
      </c>
      <c r="O35" s="19">
        <f t="shared" si="3"/>
        <v>0</v>
      </c>
      <c r="P35" s="19">
        <f t="shared" si="3"/>
        <v>0</v>
      </c>
      <c r="Q35" s="19">
        <f t="shared" si="3"/>
        <v>0</v>
      </c>
      <c r="R35" s="19">
        <f t="shared" si="3"/>
        <v>0</v>
      </c>
    </row>
    <row r="36" spans="1:18" ht="14.25" customHeight="1" x14ac:dyDescent="0.2">
      <c r="A36" s="1">
        <v>33</v>
      </c>
      <c r="B36" s="19">
        <f t="shared" si="1"/>
        <v>1.1697889072153691</v>
      </c>
      <c r="C36" s="19">
        <f t="shared" si="3"/>
        <v>3.2795979525025354</v>
      </c>
      <c r="D36" s="19">
        <f t="shared" si="3"/>
        <v>1.3109267916773819</v>
      </c>
      <c r="E36" s="19">
        <f t="shared" si="3"/>
        <v>-2.5252480352407551</v>
      </c>
      <c r="F36" s="19">
        <f t="shared" si="3"/>
        <v>1.0609242443440416</v>
      </c>
      <c r="G36" s="19">
        <f t="shared" si="3"/>
        <v>3.1964441485440869</v>
      </c>
      <c r="H36" s="19">
        <f t="shared" si="3"/>
        <v>-1.3813681743913688</v>
      </c>
      <c r="I36" s="19">
        <f t="shared" si="3"/>
        <v>-2.4403634116422119</v>
      </c>
      <c r="J36" s="19">
        <f t="shared" si="3"/>
        <v>-2.0200577125965617</v>
      </c>
      <c r="K36" s="19">
        <f t="shared" si="3"/>
        <v>-1.6600862435512809</v>
      </c>
      <c r="L36" s="19">
        <f t="shared" si="3"/>
        <v>-3.165997515237494</v>
      </c>
      <c r="M36" s="19">
        <f t="shared" si="3"/>
        <v>-2.1908326832240985</v>
      </c>
      <c r="N36" s="19">
        <f t="shared" si="3"/>
        <v>0</v>
      </c>
      <c r="O36" s="19">
        <f t="shared" si="3"/>
        <v>0</v>
      </c>
      <c r="P36" s="19">
        <f t="shared" si="3"/>
        <v>0</v>
      </c>
      <c r="Q36" s="19">
        <f t="shared" si="3"/>
        <v>0</v>
      </c>
      <c r="R36" s="19">
        <f t="shared" si="3"/>
        <v>0</v>
      </c>
    </row>
    <row r="37" spans="1:18" ht="14.25" customHeight="1" x14ac:dyDescent="0.2">
      <c r="A37" s="1">
        <v>34</v>
      </c>
      <c r="B37" s="19">
        <f t="shared" si="1"/>
        <v>1.205237055918865</v>
      </c>
      <c r="C37" s="19">
        <f t="shared" si="3"/>
        <v>3.3789797086389761</v>
      </c>
      <c r="D37" s="19">
        <f t="shared" si="3"/>
        <v>1.350651845970636</v>
      </c>
      <c r="E37" s="19">
        <f t="shared" si="3"/>
        <v>-2.6017707029753234</v>
      </c>
      <c r="F37" s="19">
        <f t="shared" si="3"/>
        <v>1.0930734638696187</v>
      </c>
      <c r="G37" s="19">
        <f t="shared" si="3"/>
        <v>3.2933060924393622</v>
      </c>
      <c r="H37" s="19">
        <f t="shared" si="3"/>
        <v>-1.4232278160395921</v>
      </c>
      <c r="I37" s="19">
        <f t="shared" si="3"/>
        <v>-2.5143138180556126</v>
      </c>
      <c r="J37" s="19">
        <f t="shared" si="3"/>
        <v>-2.0812715826752455</v>
      </c>
      <c r="K37" s="19">
        <f t="shared" si="3"/>
        <v>-1.710391887295259</v>
      </c>
      <c r="L37" s="19">
        <f t="shared" si="3"/>
        <v>-3.2619368338810544</v>
      </c>
      <c r="M37" s="19">
        <f t="shared" si="3"/>
        <v>-2.2572215524127075</v>
      </c>
      <c r="N37" s="19">
        <f t="shared" si="3"/>
        <v>0</v>
      </c>
      <c r="O37" s="19">
        <f t="shared" si="3"/>
        <v>0</v>
      </c>
      <c r="P37" s="19">
        <f t="shared" si="3"/>
        <v>0</v>
      </c>
      <c r="Q37" s="19">
        <f t="shared" si="3"/>
        <v>0</v>
      </c>
      <c r="R37" s="19">
        <f t="shared" si="3"/>
        <v>0</v>
      </c>
    </row>
    <row r="38" spans="1:18" ht="14.25" customHeight="1" x14ac:dyDescent="0.2">
      <c r="A38" s="1">
        <v>35</v>
      </c>
      <c r="B38" s="19">
        <f t="shared" si="1"/>
        <v>1.2406852046223611</v>
      </c>
      <c r="C38" s="19">
        <f t="shared" si="3"/>
        <v>3.4783614647754164</v>
      </c>
      <c r="D38" s="19">
        <f t="shared" si="3"/>
        <v>1.3903769002638899</v>
      </c>
      <c r="E38" s="19">
        <f t="shared" si="3"/>
        <v>-2.6782933707098917</v>
      </c>
      <c r="F38" s="19">
        <f t="shared" si="3"/>
        <v>1.1252226833951957</v>
      </c>
      <c r="G38" s="19">
        <f t="shared" si="3"/>
        <v>3.3901680363346376</v>
      </c>
      <c r="H38" s="19">
        <f t="shared" si="3"/>
        <v>-1.4650874576878155</v>
      </c>
      <c r="I38" s="19">
        <f t="shared" si="3"/>
        <v>-2.5882642244690128</v>
      </c>
      <c r="J38" s="19">
        <f t="shared" si="3"/>
        <v>-2.1424854527539292</v>
      </c>
      <c r="K38" s="19">
        <f t="shared" si="3"/>
        <v>-1.7606975310392374</v>
      </c>
      <c r="L38" s="19">
        <f t="shared" si="3"/>
        <v>-3.3578761525246148</v>
      </c>
      <c r="M38" s="19">
        <f t="shared" si="3"/>
        <v>-2.3236104216013165</v>
      </c>
      <c r="N38" s="19">
        <f t="shared" si="3"/>
        <v>0</v>
      </c>
      <c r="O38" s="19">
        <f t="shared" si="3"/>
        <v>0</v>
      </c>
      <c r="P38" s="19">
        <f t="shared" si="3"/>
        <v>0</v>
      </c>
      <c r="Q38" s="19">
        <f t="shared" si="3"/>
        <v>0</v>
      </c>
      <c r="R38" s="19">
        <f t="shared" si="3"/>
        <v>0</v>
      </c>
    </row>
    <row r="39" spans="1:18" ht="14.25" customHeight="1" x14ac:dyDescent="0.2">
      <c r="A39" s="1">
        <v>36</v>
      </c>
      <c r="B39" s="19">
        <f t="shared" si="1"/>
        <v>1.2761333533258572</v>
      </c>
      <c r="C39" s="19">
        <f t="shared" si="3"/>
        <v>3.5777432209118571</v>
      </c>
      <c r="D39" s="19">
        <f t="shared" si="3"/>
        <v>1.4301019545571441</v>
      </c>
      <c r="E39" s="19">
        <f t="shared" si="3"/>
        <v>-2.75481603844446</v>
      </c>
      <c r="F39" s="19">
        <f t="shared" si="3"/>
        <v>1.1573719029207727</v>
      </c>
      <c r="G39" s="19">
        <f t="shared" si="3"/>
        <v>3.487029980229913</v>
      </c>
      <c r="H39" s="19">
        <f t="shared" si="3"/>
        <v>-1.5069470993360388</v>
      </c>
      <c r="I39" s="19">
        <f t="shared" si="3"/>
        <v>-2.6622146308824131</v>
      </c>
      <c r="J39" s="19">
        <f t="shared" si="3"/>
        <v>-2.2036993228326129</v>
      </c>
      <c r="K39" s="19">
        <f t="shared" si="3"/>
        <v>-1.8110031747832156</v>
      </c>
      <c r="L39" s="19">
        <f t="shared" si="3"/>
        <v>-3.4538154711681752</v>
      </c>
      <c r="M39" s="19">
        <f t="shared" si="3"/>
        <v>-2.3899992907899259</v>
      </c>
      <c r="N39" s="19">
        <f t="shared" si="3"/>
        <v>0</v>
      </c>
      <c r="O39" s="19">
        <f t="shared" si="3"/>
        <v>0</v>
      </c>
      <c r="P39" s="19">
        <f t="shared" si="3"/>
        <v>0</v>
      </c>
      <c r="Q39" s="19">
        <f t="shared" si="3"/>
        <v>0</v>
      </c>
      <c r="R39" s="19">
        <f t="shared" si="3"/>
        <v>0</v>
      </c>
    </row>
    <row r="40" spans="1:18" ht="14.25" customHeight="1" x14ac:dyDescent="0.2">
      <c r="A40" s="1">
        <v>37</v>
      </c>
      <c r="B40" s="19">
        <f t="shared" si="1"/>
        <v>1.3115815020293531</v>
      </c>
      <c r="C40" s="19">
        <f t="shared" si="3"/>
        <v>3.6771249770482974</v>
      </c>
      <c r="D40" s="19">
        <f t="shared" si="3"/>
        <v>1.469827008850398</v>
      </c>
      <c r="E40" s="19">
        <f t="shared" si="3"/>
        <v>-2.8313387061790287</v>
      </c>
      <c r="F40" s="19">
        <f t="shared" si="3"/>
        <v>1.1895211224463498</v>
      </c>
      <c r="G40" s="19">
        <f t="shared" si="3"/>
        <v>3.5838919241251883</v>
      </c>
      <c r="H40" s="19">
        <f t="shared" si="3"/>
        <v>-1.5488067409842621</v>
      </c>
      <c r="I40" s="19">
        <f t="shared" si="3"/>
        <v>-2.7361650372958137</v>
      </c>
      <c r="J40" s="19">
        <f t="shared" si="3"/>
        <v>-2.2649131929112967</v>
      </c>
      <c r="K40" s="19">
        <f t="shared" si="3"/>
        <v>-1.8613088185271938</v>
      </c>
      <c r="L40" s="19">
        <f t="shared" si="3"/>
        <v>-3.5497547898117356</v>
      </c>
      <c r="M40" s="19">
        <f t="shared" si="3"/>
        <v>-2.4563881599785349</v>
      </c>
      <c r="N40" s="19">
        <f t="shared" si="3"/>
        <v>0</v>
      </c>
      <c r="O40" s="19">
        <f t="shared" si="3"/>
        <v>0</v>
      </c>
      <c r="P40" s="19">
        <f t="shared" si="3"/>
        <v>0</v>
      </c>
      <c r="Q40" s="19">
        <f t="shared" si="3"/>
        <v>0</v>
      </c>
      <c r="R40" s="19">
        <f t="shared" si="3"/>
        <v>0</v>
      </c>
    </row>
    <row r="41" spans="1:18" ht="14.25" customHeight="1" x14ac:dyDescent="0.2">
      <c r="A41" s="1">
        <v>38</v>
      </c>
      <c r="B41" s="19">
        <f t="shared" si="1"/>
        <v>1.3470296507328492</v>
      </c>
      <c r="C41" s="19">
        <f t="shared" si="3"/>
        <v>3.7765067331847377</v>
      </c>
      <c r="D41" s="19">
        <f t="shared" si="3"/>
        <v>1.5095520631436521</v>
      </c>
      <c r="E41" s="19">
        <f t="shared" si="3"/>
        <v>-2.907861373913597</v>
      </c>
      <c r="F41" s="19">
        <f t="shared" si="3"/>
        <v>1.2216703419719268</v>
      </c>
      <c r="G41" s="19">
        <f t="shared" si="3"/>
        <v>3.6807538680204637</v>
      </c>
      <c r="H41" s="19">
        <f t="shared" si="3"/>
        <v>-1.5906663826324854</v>
      </c>
      <c r="I41" s="19">
        <f t="shared" si="3"/>
        <v>-2.810115443709214</v>
      </c>
      <c r="J41" s="19">
        <f t="shared" si="3"/>
        <v>-2.3261270629899804</v>
      </c>
      <c r="K41" s="19">
        <f t="shared" si="3"/>
        <v>-1.9116144622711719</v>
      </c>
      <c r="L41" s="19">
        <f t="shared" si="3"/>
        <v>-3.6456941084552961</v>
      </c>
      <c r="M41" s="19">
        <f t="shared" si="3"/>
        <v>-2.5227770291671439</v>
      </c>
      <c r="N41" s="19">
        <f t="shared" si="3"/>
        <v>0</v>
      </c>
      <c r="O41" s="19">
        <f t="shared" si="3"/>
        <v>0</v>
      </c>
      <c r="P41" s="19">
        <f t="shared" si="3"/>
        <v>0</v>
      </c>
      <c r="Q41" s="19">
        <f t="shared" si="3"/>
        <v>0</v>
      </c>
      <c r="R41" s="19">
        <f t="shared" si="3"/>
        <v>0</v>
      </c>
    </row>
    <row r="42" spans="1:18" ht="14.25" customHeight="1" x14ac:dyDescent="0.2">
      <c r="A42" s="1">
        <v>39</v>
      </c>
      <c r="B42" s="19">
        <f t="shared" si="1"/>
        <v>1.3824777994363453</v>
      </c>
      <c r="C42" s="19">
        <f t="shared" si="3"/>
        <v>3.8758884893211785</v>
      </c>
      <c r="D42" s="19">
        <f t="shared" si="3"/>
        <v>1.549277117436906</v>
      </c>
      <c r="E42" s="19">
        <f t="shared" si="3"/>
        <v>-2.9843840416481653</v>
      </c>
      <c r="F42" s="19">
        <f t="shared" si="3"/>
        <v>1.2538195614975038</v>
      </c>
      <c r="G42" s="19">
        <f t="shared" si="3"/>
        <v>3.777615811915739</v>
      </c>
      <c r="H42" s="19">
        <f t="shared" si="3"/>
        <v>-1.6325260242807087</v>
      </c>
      <c r="I42" s="19">
        <f t="shared" si="3"/>
        <v>-2.8840658501226142</v>
      </c>
      <c r="J42" s="19">
        <f t="shared" si="3"/>
        <v>-2.3873409330686641</v>
      </c>
      <c r="K42" s="19">
        <f t="shared" si="3"/>
        <v>-1.9619201060151501</v>
      </c>
      <c r="L42" s="19">
        <f t="shared" si="3"/>
        <v>-3.7416334270988565</v>
      </c>
      <c r="M42" s="19">
        <f t="shared" si="3"/>
        <v>-2.5891658983557528</v>
      </c>
      <c r="N42" s="19">
        <f t="shared" si="3"/>
        <v>0</v>
      </c>
      <c r="O42" s="19">
        <f t="shared" si="3"/>
        <v>0</v>
      </c>
      <c r="P42" s="19">
        <f t="shared" si="3"/>
        <v>0</v>
      </c>
      <c r="Q42" s="19">
        <f t="shared" si="3"/>
        <v>0</v>
      </c>
      <c r="R42" s="19">
        <f t="shared" si="3"/>
        <v>0</v>
      </c>
    </row>
    <row r="43" spans="1:18" ht="14.25" customHeight="1" x14ac:dyDescent="0.2">
      <c r="A43" s="1">
        <v>40</v>
      </c>
      <c r="B43" s="19">
        <f t="shared" si="1"/>
        <v>1.4179259481398412</v>
      </c>
      <c r="C43" s="19">
        <f t="shared" si="3"/>
        <v>3.9752702454576188</v>
      </c>
      <c r="D43" s="19">
        <f t="shared" si="3"/>
        <v>1.5890021717301601</v>
      </c>
      <c r="E43" s="19">
        <f t="shared" si="3"/>
        <v>-3.0609067093827336</v>
      </c>
      <c r="F43" s="19">
        <f t="shared" si="3"/>
        <v>1.2859687810230809</v>
      </c>
      <c r="G43" s="19">
        <f t="shared" si="3"/>
        <v>3.8744777558110144</v>
      </c>
      <c r="H43" s="19">
        <f t="shared" si="3"/>
        <v>-1.674385665928932</v>
      </c>
      <c r="I43" s="19">
        <f t="shared" si="3"/>
        <v>-2.9580162565360144</v>
      </c>
      <c r="J43" s="19">
        <f t="shared" si="3"/>
        <v>-2.4485548031473479</v>
      </c>
      <c r="K43" s="19">
        <f t="shared" si="3"/>
        <v>-2.0122257497591285</v>
      </c>
      <c r="L43" s="19">
        <f t="shared" si="3"/>
        <v>-3.8375727457424169</v>
      </c>
      <c r="M43" s="19">
        <f t="shared" si="3"/>
        <v>-2.6555547675443618</v>
      </c>
      <c r="N43" s="19">
        <f t="shared" si="3"/>
        <v>0</v>
      </c>
      <c r="O43" s="19">
        <f t="shared" si="3"/>
        <v>0</v>
      </c>
      <c r="P43" s="19">
        <f t="shared" si="3"/>
        <v>0</v>
      </c>
      <c r="Q43" s="19">
        <f t="shared" si="3"/>
        <v>0</v>
      </c>
      <c r="R43" s="19">
        <f t="shared" si="3"/>
        <v>0</v>
      </c>
    </row>
    <row r="44" spans="1:18" ht="14.25" customHeight="1" x14ac:dyDescent="0.2">
      <c r="A44" s="1">
        <v>41</v>
      </c>
      <c r="B44" s="19">
        <f t="shared" si="1"/>
        <v>1.4533740968433373</v>
      </c>
      <c r="C44" s="19">
        <f t="shared" si="3"/>
        <v>4.0746520015940595</v>
      </c>
      <c r="D44" s="19">
        <f t="shared" si="3"/>
        <v>1.628727226023414</v>
      </c>
      <c r="E44" s="19">
        <f t="shared" si="3"/>
        <v>-3.1374293771173019</v>
      </c>
      <c r="F44" s="19">
        <f t="shared" si="3"/>
        <v>1.3181180005486577</v>
      </c>
      <c r="G44" s="19">
        <f t="shared" si="3"/>
        <v>3.9713396997062897</v>
      </c>
      <c r="H44" s="19">
        <f t="shared" si="3"/>
        <v>-1.7162453075771551</v>
      </c>
      <c r="I44" s="19">
        <f t="shared" si="3"/>
        <v>-3.0319666629494151</v>
      </c>
      <c r="J44" s="19">
        <f t="shared" si="3"/>
        <v>-2.5097686732260316</v>
      </c>
      <c r="K44" s="19">
        <f t="shared" si="3"/>
        <v>-2.0625313935031064</v>
      </c>
      <c r="L44" s="19">
        <f t="shared" si="3"/>
        <v>-3.9335120643859773</v>
      </c>
      <c r="M44" s="19">
        <f t="shared" si="3"/>
        <v>-2.7219436367329708</v>
      </c>
      <c r="N44" s="19">
        <f t="shared" si="3"/>
        <v>0</v>
      </c>
      <c r="O44" s="19">
        <f t="shared" si="3"/>
        <v>0</v>
      </c>
      <c r="P44" s="19">
        <f t="shared" si="3"/>
        <v>0</v>
      </c>
      <c r="Q44" s="19">
        <f t="shared" si="3"/>
        <v>0</v>
      </c>
      <c r="R44" s="19">
        <f t="shared" si="3"/>
        <v>0</v>
      </c>
    </row>
    <row r="45" spans="1:18" ht="14.25" customHeight="1" x14ac:dyDescent="0.2">
      <c r="A45" s="1">
        <v>42</v>
      </c>
      <c r="B45" s="19">
        <f t="shared" si="1"/>
        <v>1.4888222455468334</v>
      </c>
      <c r="C45" s="19">
        <f t="shared" si="3"/>
        <v>4.1740337577305002</v>
      </c>
      <c r="D45" s="19">
        <f t="shared" si="3"/>
        <v>1.6684522803166679</v>
      </c>
      <c r="E45" s="19">
        <f t="shared" si="3"/>
        <v>-3.2139520448518701</v>
      </c>
      <c r="F45" s="19">
        <f t="shared" si="3"/>
        <v>1.3502672200742347</v>
      </c>
      <c r="G45" s="19">
        <f t="shared" si="3"/>
        <v>4.0682016436015651</v>
      </c>
      <c r="H45" s="19">
        <f t="shared" si="3"/>
        <v>-1.7581049492253784</v>
      </c>
      <c r="I45" s="19">
        <f t="shared" si="3"/>
        <v>-3.1059170693628153</v>
      </c>
      <c r="J45" s="19">
        <f t="shared" si="3"/>
        <v>-2.5709825433047153</v>
      </c>
      <c r="K45" s="19">
        <f t="shared" si="3"/>
        <v>-2.1128370372470848</v>
      </c>
      <c r="L45" s="19">
        <f t="shared" si="3"/>
        <v>-4.0294513830295378</v>
      </c>
      <c r="M45" s="19">
        <f t="shared" si="3"/>
        <v>-2.7883325059215802</v>
      </c>
      <c r="N45" s="19">
        <f t="shared" si="3"/>
        <v>0</v>
      </c>
      <c r="O45" s="19">
        <f t="shared" si="3"/>
        <v>0</v>
      </c>
      <c r="P45" s="19">
        <f t="shared" si="3"/>
        <v>0</v>
      </c>
      <c r="Q45" s="19">
        <f t="shared" si="3"/>
        <v>0</v>
      </c>
      <c r="R45" s="19">
        <f t="shared" si="3"/>
        <v>0</v>
      </c>
    </row>
    <row r="46" spans="1:18" ht="14.25" customHeight="1" x14ac:dyDescent="0.2">
      <c r="A46" s="1">
        <v>43</v>
      </c>
      <c r="B46" s="19">
        <f t="shared" si="1"/>
        <v>1.5242703942503293</v>
      </c>
      <c r="C46" s="19">
        <f t="shared" si="3"/>
        <v>4.2734155138669401</v>
      </c>
      <c r="D46" s="19">
        <f t="shared" si="3"/>
        <v>1.708177334609922</v>
      </c>
      <c r="E46" s="19">
        <f t="shared" si="3"/>
        <v>-3.2904747125864384</v>
      </c>
      <c r="F46" s="19">
        <f t="shared" si="3"/>
        <v>1.3824164395998118</v>
      </c>
      <c r="G46" s="19">
        <f t="shared" si="3"/>
        <v>4.1650635874968405</v>
      </c>
      <c r="H46" s="19">
        <f t="shared" si="3"/>
        <v>-1.7999645908736017</v>
      </c>
      <c r="I46" s="19">
        <f t="shared" si="3"/>
        <v>-3.1798674757762155</v>
      </c>
      <c r="J46" s="19">
        <f t="shared" si="3"/>
        <v>-2.632196413383399</v>
      </c>
      <c r="K46" s="19">
        <f t="shared" si="3"/>
        <v>-2.1631426809910632</v>
      </c>
      <c r="L46" s="19">
        <f t="shared" si="3"/>
        <v>-4.1253907016730977</v>
      </c>
      <c r="M46" s="19">
        <f t="shared" si="3"/>
        <v>-2.8547213751101892</v>
      </c>
      <c r="N46" s="19">
        <f t="shared" si="3"/>
        <v>0</v>
      </c>
      <c r="O46" s="19">
        <f t="shared" si="3"/>
        <v>0</v>
      </c>
      <c r="P46" s="19">
        <f t="shared" si="3"/>
        <v>0</v>
      </c>
      <c r="Q46" s="19">
        <f t="shared" si="3"/>
        <v>0</v>
      </c>
      <c r="R46" s="19">
        <f t="shared" si="3"/>
        <v>0</v>
      </c>
    </row>
    <row r="47" spans="1:18" ht="14.25" customHeight="1" x14ac:dyDescent="0.2">
      <c r="A47" s="1">
        <v>44</v>
      </c>
      <c r="B47" s="19">
        <f t="shared" si="1"/>
        <v>1.5597185429538254</v>
      </c>
      <c r="C47" s="19">
        <f t="shared" si="3"/>
        <v>4.3727972700033808</v>
      </c>
      <c r="D47" s="19">
        <f t="shared" si="3"/>
        <v>1.747902388903176</v>
      </c>
      <c r="E47" s="19">
        <f t="shared" si="3"/>
        <v>-3.3669973803210071</v>
      </c>
      <c r="F47" s="19">
        <f t="shared" si="3"/>
        <v>1.4145656591253888</v>
      </c>
      <c r="G47" s="19">
        <f t="shared" si="3"/>
        <v>4.2619255313921158</v>
      </c>
      <c r="H47" s="19">
        <f t="shared" si="3"/>
        <v>-1.841824232521825</v>
      </c>
      <c r="I47" s="19">
        <f t="shared" si="3"/>
        <v>-3.2538178821896162</v>
      </c>
      <c r="J47" s="19">
        <f t="shared" si="3"/>
        <v>-2.6934102834620828</v>
      </c>
      <c r="K47" s="19">
        <f t="shared" si="3"/>
        <v>-2.2134483247350412</v>
      </c>
      <c r="L47" s="19">
        <f t="shared" si="3"/>
        <v>-4.2213300203166586</v>
      </c>
      <c r="M47" s="19">
        <f t="shared" si="3"/>
        <v>-2.9211102442987982</v>
      </c>
      <c r="N47" s="19">
        <f t="shared" si="3"/>
        <v>0</v>
      </c>
      <c r="O47" s="19">
        <f t="shared" si="3"/>
        <v>0</v>
      </c>
      <c r="P47" s="19">
        <f t="shared" si="3"/>
        <v>0</v>
      </c>
      <c r="Q47" s="19">
        <f t="shared" si="3"/>
        <v>0</v>
      </c>
      <c r="R47" s="19">
        <f t="shared" si="3"/>
        <v>0</v>
      </c>
    </row>
    <row r="48" spans="1:18" ht="14.25" customHeight="1" x14ac:dyDescent="0.2">
      <c r="A48" s="1">
        <v>45</v>
      </c>
      <c r="B48" s="19">
        <f t="shared" si="1"/>
        <v>1.5951666916573215</v>
      </c>
      <c r="C48" s="19">
        <f t="shared" si="3"/>
        <v>4.4721790261398215</v>
      </c>
      <c r="D48" s="19">
        <f t="shared" si="3"/>
        <v>1.7876274431964301</v>
      </c>
      <c r="E48" s="19">
        <f t="shared" si="3"/>
        <v>-3.4435200480555754</v>
      </c>
      <c r="F48" s="19">
        <f t="shared" si="3"/>
        <v>1.4467148786509658</v>
      </c>
      <c r="G48" s="19">
        <f t="shared" si="3"/>
        <v>4.3587874752873912</v>
      </c>
      <c r="H48" s="19">
        <f t="shared" ref="C48:R62" si="4">H$4*$A48</f>
        <v>-1.8836838741700483</v>
      </c>
      <c r="I48" s="19">
        <f t="shared" si="4"/>
        <v>-3.3277682886030164</v>
      </c>
      <c r="J48" s="19">
        <f t="shared" si="4"/>
        <v>-2.7546241535407661</v>
      </c>
      <c r="K48" s="19">
        <f t="shared" si="4"/>
        <v>-2.2637539684790196</v>
      </c>
      <c r="L48" s="19">
        <f t="shared" si="4"/>
        <v>-4.3172693389602195</v>
      </c>
      <c r="M48" s="19">
        <f t="shared" si="4"/>
        <v>-2.9874991134874072</v>
      </c>
      <c r="N48" s="19">
        <f t="shared" si="4"/>
        <v>0</v>
      </c>
      <c r="O48" s="19">
        <f t="shared" si="4"/>
        <v>0</v>
      </c>
      <c r="P48" s="19">
        <f t="shared" si="4"/>
        <v>0</v>
      </c>
      <c r="Q48" s="19">
        <f t="shared" si="4"/>
        <v>0</v>
      </c>
      <c r="R48" s="19">
        <f t="shared" si="4"/>
        <v>0</v>
      </c>
    </row>
    <row r="49" spans="1:18" ht="14.25" customHeight="1" x14ac:dyDescent="0.2">
      <c r="A49" s="1">
        <v>46</v>
      </c>
      <c r="B49" s="19">
        <f t="shared" si="1"/>
        <v>1.6306148403608174</v>
      </c>
      <c r="C49" s="19">
        <f t="shared" si="4"/>
        <v>4.5715607822762614</v>
      </c>
      <c r="D49" s="19">
        <f t="shared" si="4"/>
        <v>1.827352497489684</v>
      </c>
      <c r="E49" s="19">
        <f t="shared" si="4"/>
        <v>-3.5200427157901437</v>
      </c>
      <c r="F49" s="19">
        <f t="shared" si="4"/>
        <v>1.4788640981765429</v>
      </c>
      <c r="G49" s="19">
        <f t="shared" si="4"/>
        <v>4.4556494191826665</v>
      </c>
      <c r="H49" s="19">
        <f t="shared" si="4"/>
        <v>-1.9255435158182717</v>
      </c>
      <c r="I49" s="19">
        <f t="shared" si="4"/>
        <v>-3.4017186950164167</v>
      </c>
      <c r="J49" s="19">
        <f t="shared" si="4"/>
        <v>-2.8158380236194498</v>
      </c>
      <c r="K49" s="19">
        <f t="shared" si="4"/>
        <v>-2.3140596122229975</v>
      </c>
      <c r="L49" s="19">
        <f t="shared" si="4"/>
        <v>-4.4132086576037795</v>
      </c>
      <c r="M49" s="19">
        <f t="shared" si="4"/>
        <v>-3.0538879826760161</v>
      </c>
      <c r="N49" s="19">
        <f t="shared" si="4"/>
        <v>0</v>
      </c>
      <c r="O49" s="19">
        <f t="shared" si="4"/>
        <v>0</v>
      </c>
      <c r="P49" s="19">
        <f t="shared" si="4"/>
        <v>0</v>
      </c>
      <c r="Q49" s="19">
        <f t="shared" si="4"/>
        <v>0</v>
      </c>
      <c r="R49" s="19">
        <f t="shared" si="4"/>
        <v>0</v>
      </c>
    </row>
    <row r="50" spans="1:18" ht="14.25" customHeight="1" x14ac:dyDescent="0.2">
      <c r="A50" s="1">
        <v>47</v>
      </c>
      <c r="B50" s="19">
        <f t="shared" si="1"/>
        <v>1.6660629890643135</v>
      </c>
      <c r="C50" s="19">
        <f t="shared" si="4"/>
        <v>4.6709425384127021</v>
      </c>
      <c r="D50" s="19">
        <f t="shared" si="4"/>
        <v>1.8670775517829381</v>
      </c>
      <c r="E50" s="19">
        <f t="shared" si="4"/>
        <v>-3.596565383524712</v>
      </c>
      <c r="F50" s="19">
        <f t="shared" si="4"/>
        <v>1.5110133177021199</v>
      </c>
      <c r="G50" s="19">
        <f t="shared" si="4"/>
        <v>4.5525113630779419</v>
      </c>
      <c r="H50" s="19">
        <f t="shared" si="4"/>
        <v>-1.967403157466495</v>
      </c>
      <c r="I50" s="19">
        <f t="shared" si="4"/>
        <v>-3.4756691014298173</v>
      </c>
      <c r="J50" s="19">
        <f t="shared" si="4"/>
        <v>-2.8770518936981335</v>
      </c>
      <c r="K50" s="19">
        <f t="shared" si="4"/>
        <v>-2.3643652559669759</v>
      </c>
      <c r="L50" s="19">
        <f t="shared" si="4"/>
        <v>-4.5091479762473394</v>
      </c>
      <c r="M50" s="19">
        <f t="shared" si="4"/>
        <v>-3.1202768518646251</v>
      </c>
      <c r="N50" s="19">
        <f t="shared" si="4"/>
        <v>0</v>
      </c>
      <c r="O50" s="19">
        <f t="shared" si="4"/>
        <v>0</v>
      </c>
      <c r="P50" s="19">
        <f t="shared" si="4"/>
        <v>0</v>
      </c>
      <c r="Q50" s="19">
        <f t="shared" si="4"/>
        <v>0</v>
      </c>
      <c r="R50" s="19">
        <f t="shared" si="4"/>
        <v>0</v>
      </c>
    </row>
    <row r="51" spans="1:18" ht="14.25" customHeight="1" x14ac:dyDescent="0.2">
      <c r="A51" s="1">
        <v>48</v>
      </c>
      <c r="B51" s="19">
        <f t="shared" si="1"/>
        <v>1.7015111377678096</v>
      </c>
      <c r="C51" s="19">
        <f t="shared" si="4"/>
        <v>4.7703242945491429</v>
      </c>
      <c r="D51" s="19">
        <f t="shared" si="4"/>
        <v>1.906802606076192</v>
      </c>
      <c r="E51" s="19">
        <f t="shared" si="4"/>
        <v>-3.6730880512592803</v>
      </c>
      <c r="F51" s="19">
        <f t="shared" si="4"/>
        <v>1.5431625372276969</v>
      </c>
      <c r="G51" s="19">
        <f t="shared" si="4"/>
        <v>4.6493733069732173</v>
      </c>
      <c r="H51" s="19">
        <f t="shared" si="4"/>
        <v>-2.0092627991147181</v>
      </c>
      <c r="I51" s="19">
        <f t="shared" si="4"/>
        <v>-3.5496195078432176</v>
      </c>
      <c r="J51" s="19">
        <f t="shared" si="4"/>
        <v>-2.9382657637768173</v>
      </c>
      <c r="K51" s="19">
        <f t="shared" si="4"/>
        <v>-2.4146708997109538</v>
      </c>
      <c r="L51" s="19">
        <f t="shared" si="4"/>
        <v>-4.6050872948909003</v>
      </c>
      <c r="M51" s="19">
        <f t="shared" si="4"/>
        <v>-3.1866657210532345</v>
      </c>
      <c r="N51" s="19">
        <f t="shared" si="4"/>
        <v>0</v>
      </c>
      <c r="O51" s="19">
        <f t="shared" si="4"/>
        <v>0</v>
      </c>
      <c r="P51" s="19">
        <f t="shared" si="4"/>
        <v>0</v>
      </c>
      <c r="Q51" s="19">
        <f t="shared" si="4"/>
        <v>0</v>
      </c>
      <c r="R51" s="19">
        <f t="shared" si="4"/>
        <v>0</v>
      </c>
    </row>
    <row r="52" spans="1:18" ht="14.25" customHeight="1" x14ac:dyDescent="0.2">
      <c r="A52" s="1">
        <v>49</v>
      </c>
      <c r="B52" s="19">
        <f t="shared" si="1"/>
        <v>1.7369592864713055</v>
      </c>
      <c r="C52" s="19">
        <f t="shared" si="4"/>
        <v>4.8697060506855827</v>
      </c>
      <c r="D52" s="19">
        <f t="shared" si="4"/>
        <v>1.9465276603694459</v>
      </c>
      <c r="E52" s="19">
        <f t="shared" si="4"/>
        <v>-3.7496107189938486</v>
      </c>
      <c r="F52" s="19">
        <f t="shared" si="4"/>
        <v>1.575311756753274</v>
      </c>
      <c r="G52" s="19">
        <f t="shared" si="4"/>
        <v>4.7462352508684926</v>
      </c>
      <c r="H52" s="19">
        <f t="shared" si="4"/>
        <v>-2.0511224407629416</v>
      </c>
      <c r="I52" s="19">
        <f t="shared" si="4"/>
        <v>-3.6235699142566178</v>
      </c>
      <c r="J52" s="19">
        <f t="shared" si="4"/>
        <v>-2.999479633855501</v>
      </c>
      <c r="K52" s="19">
        <f t="shared" si="4"/>
        <v>-2.4649765434549322</v>
      </c>
      <c r="L52" s="19">
        <f t="shared" si="4"/>
        <v>-4.7010266135344612</v>
      </c>
      <c r="M52" s="19">
        <f t="shared" si="4"/>
        <v>-3.2530545902418435</v>
      </c>
      <c r="N52" s="19">
        <f t="shared" si="4"/>
        <v>0</v>
      </c>
      <c r="O52" s="19">
        <f t="shared" si="4"/>
        <v>0</v>
      </c>
      <c r="P52" s="19">
        <f t="shared" si="4"/>
        <v>0</v>
      </c>
      <c r="Q52" s="19">
        <f t="shared" si="4"/>
        <v>0</v>
      </c>
      <c r="R52" s="19">
        <f t="shared" si="4"/>
        <v>0</v>
      </c>
    </row>
    <row r="53" spans="1:18" ht="14.25" customHeight="1" x14ac:dyDescent="0.2">
      <c r="A53" s="1">
        <v>50</v>
      </c>
      <c r="B53" s="19">
        <f t="shared" si="1"/>
        <v>1.7724074351748016</v>
      </c>
      <c r="C53" s="19">
        <f t="shared" si="4"/>
        <v>4.9690878068220234</v>
      </c>
      <c r="D53" s="19">
        <f t="shared" si="4"/>
        <v>1.9862527146627</v>
      </c>
      <c r="E53" s="19">
        <f t="shared" si="4"/>
        <v>-3.8261333867284169</v>
      </c>
      <c r="F53" s="19">
        <f t="shared" si="4"/>
        <v>1.607460976278851</v>
      </c>
      <c r="G53" s="19">
        <f t="shared" si="4"/>
        <v>4.843097194763768</v>
      </c>
      <c r="H53" s="19">
        <f t="shared" si="4"/>
        <v>-2.0929820824111647</v>
      </c>
      <c r="I53" s="19">
        <f t="shared" si="4"/>
        <v>-3.6975203206700185</v>
      </c>
      <c r="J53" s="19">
        <f t="shared" si="4"/>
        <v>-3.0606935039341847</v>
      </c>
      <c r="K53" s="19">
        <f t="shared" si="4"/>
        <v>-2.5152821871989106</v>
      </c>
      <c r="L53" s="19">
        <f t="shared" si="4"/>
        <v>-4.7969659321780211</v>
      </c>
      <c r="M53" s="19">
        <f t="shared" si="4"/>
        <v>-3.3194434594304525</v>
      </c>
      <c r="N53" s="19">
        <f t="shared" si="4"/>
        <v>0</v>
      </c>
      <c r="O53" s="19">
        <f t="shared" si="4"/>
        <v>0</v>
      </c>
      <c r="P53" s="19">
        <f t="shared" si="4"/>
        <v>0</v>
      </c>
      <c r="Q53" s="19">
        <f t="shared" si="4"/>
        <v>0</v>
      </c>
      <c r="R53" s="19">
        <f t="shared" si="4"/>
        <v>0</v>
      </c>
    </row>
    <row r="54" spans="1:18" ht="14.25" customHeight="1" x14ac:dyDescent="0.2">
      <c r="A54" s="1">
        <v>51</v>
      </c>
      <c r="B54" s="19">
        <f t="shared" si="1"/>
        <v>1.8078555838782975</v>
      </c>
      <c r="C54" s="19">
        <f t="shared" si="4"/>
        <v>5.0684695629584642</v>
      </c>
      <c r="D54" s="19">
        <f t="shared" si="4"/>
        <v>2.0259777689559542</v>
      </c>
      <c r="E54" s="19">
        <f t="shared" si="4"/>
        <v>-3.9026560544629851</v>
      </c>
      <c r="F54" s="19">
        <f t="shared" si="4"/>
        <v>1.639610195804428</v>
      </c>
      <c r="G54" s="19">
        <f t="shared" si="4"/>
        <v>4.9399591386590433</v>
      </c>
      <c r="H54" s="19">
        <f t="shared" si="4"/>
        <v>-2.1348417240593882</v>
      </c>
      <c r="I54" s="19">
        <f t="shared" si="4"/>
        <v>-3.7714707270834187</v>
      </c>
      <c r="J54" s="19">
        <f t="shared" si="4"/>
        <v>-3.1219073740128684</v>
      </c>
      <c r="K54" s="19">
        <f t="shared" si="4"/>
        <v>-2.5655878309428886</v>
      </c>
      <c r="L54" s="19">
        <f t="shared" si="4"/>
        <v>-4.8929052508215811</v>
      </c>
      <c r="M54" s="19">
        <f t="shared" si="4"/>
        <v>-3.3858323286190615</v>
      </c>
      <c r="N54" s="19">
        <f t="shared" si="4"/>
        <v>0</v>
      </c>
      <c r="O54" s="19">
        <f t="shared" si="4"/>
        <v>0</v>
      </c>
      <c r="P54" s="19">
        <f t="shared" si="4"/>
        <v>0</v>
      </c>
      <c r="Q54" s="19">
        <f t="shared" si="4"/>
        <v>0</v>
      </c>
      <c r="R54" s="19">
        <f t="shared" si="4"/>
        <v>0</v>
      </c>
    </row>
    <row r="55" spans="1:18" ht="14.25" customHeight="1" x14ac:dyDescent="0.2">
      <c r="A55" s="1">
        <v>52</v>
      </c>
      <c r="B55" s="19">
        <f t="shared" si="1"/>
        <v>1.8433037325817936</v>
      </c>
      <c r="C55" s="19">
        <f t="shared" si="4"/>
        <v>5.1678513190949049</v>
      </c>
      <c r="D55" s="19">
        <f t="shared" si="4"/>
        <v>2.0657028232492078</v>
      </c>
      <c r="E55" s="19">
        <f t="shared" si="4"/>
        <v>-3.9791787221975534</v>
      </c>
      <c r="F55" s="19">
        <f t="shared" si="4"/>
        <v>1.671759415330005</v>
      </c>
      <c r="G55" s="19">
        <f t="shared" si="4"/>
        <v>5.0368210825543187</v>
      </c>
      <c r="H55" s="19">
        <f t="shared" si="4"/>
        <v>-2.1767013657076113</v>
      </c>
      <c r="I55" s="19">
        <f t="shared" si="4"/>
        <v>-3.8454211334968189</v>
      </c>
      <c r="J55" s="19">
        <f t="shared" si="4"/>
        <v>-3.1831212440915522</v>
      </c>
      <c r="K55" s="19">
        <f t="shared" si="4"/>
        <v>-2.6158934746868669</v>
      </c>
      <c r="L55" s="19">
        <f t="shared" si="4"/>
        <v>-4.988844569465142</v>
      </c>
      <c r="M55" s="19">
        <f t="shared" si="4"/>
        <v>-3.4522211978076704</v>
      </c>
      <c r="N55" s="19">
        <f t="shared" si="4"/>
        <v>0</v>
      </c>
      <c r="O55" s="19">
        <f t="shared" si="4"/>
        <v>0</v>
      </c>
      <c r="P55" s="19">
        <f t="shared" si="4"/>
        <v>0</v>
      </c>
      <c r="Q55" s="19">
        <f t="shared" si="4"/>
        <v>0</v>
      </c>
      <c r="R55" s="19">
        <f t="shared" si="4"/>
        <v>0</v>
      </c>
    </row>
    <row r="56" spans="1:18" ht="14.25" customHeight="1" x14ac:dyDescent="0.2">
      <c r="A56" s="1">
        <v>53</v>
      </c>
      <c r="B56" s="19">
        <f t="shared" si="1"/>
        <v>1.8787518812852897</v>
      </c>
      <c r="C56" s="19">
        <f t="shared" si="4"/>
        <v>5.2672330752313448</v>
      </c>
      <c r="D56" s="19">
        <f t="shared" si="4"/>
        <v>2.105427877542462</v>
      </c>
      <c r="E56" s="19">
        <f t="shared" si="4"/>
        <v>-4.0557013899321221</v>
      </c>
      <c r="F56" s="19">
        <f t="shared" si="4"/>
        <v>1.7039086348555821</v>
      </c>
      <c r="G56" s="19">
        <f t="shared" si="4"/>
        <v>5.1336830264495941</v>
      </c>
      <c r="H56" s="19">
        <f t="shared" si="4"/>
        <v>-2.2185610073558348</v>
      </c>
      <c r="I56" s="19">
        <f t="shared" si="4"/>
        <v>-3.9193715399102196</v>
      </c>
      <c r="J56" s="19">
        <f t="shared" si="4"/>
        <v>-3.2443351141702359</v>
      </c>
      <c r="K56" s="19">
        <f t="shared" si="4"/>
        <v>-2.6661991184308449</v>
      </c>
      <c r="L56" s="19">
        <f t="shared" si="4"/>
        <v>-5.0847838881087029</v>
      </c>
      <c r="M56" s="19">
        <f t="shared" si="4"/>
        <v>-3.5186100669962794</v>
      </c>
      <c r="N56" s="19">
        <f t="shared" si="4"/>
        <v>0</v>
      </c>
      <c r="O56" s="19">
        <f t="shared" si="4"/>
        <v>0</v>
      </c>
      <c r="P56" s="19">
        <f t="shared" si="4"/>
        <v>0</v>
      </c>
      <c r="Q56" s="19">
        <f t="shared" si="4"/>
        <v>0</v>
      </c>
      <c r="R56" s="19">
        <f t="shared" si="4"/>
        <v>0</v>
      </c>
    </row>
    <row r="57" spans="1:18" ht="14.25" customHeight="1" x14ac:dyDescent="0.2">
      <c r="A57" s="1">
        <v>54</v>
      </c>
      <c r="B57" s="19">
        <f t="shared" si="1"/>
        <v>1.9142000299887856</v>
      </c>
      <c r="C57" s="19">
        <f t="shared" si="4"/>
        <v>5.3666148313677855</v>
      </c>
      <c r="D57" s="19">
        <f t="shared" si="4"/>
        <v>2.1451529318357161</v>
      </c>
      <c r="E57" s="19">
        <f t="shared" si="4"/>
        <v>-4.13222405766669</v>
      </c>
      <c r="F57" s="19">
        <f t="shared" si="4"/>
        <v>1.7360578543811591</v>
      </c>
      <c r="G57" s="19">
        <f t="shared" si="4"/>
        <v>5.2305449703448694</v>
      </c>
      <c r="H57" s="19">
        <f t="shared" si="4"/>
        <v>-2.2604206490040579</v>
      </c>
      <c r="I57" s="19">
        <f t="shared" si="4"/>
        <v>-3.9933219463236198</v>
      </c>
      <c r="J57" s="19">
        <f t="shared" si="4"/>
        <v>-3.3055489842489196</v>
      </c>
      <c r="K57" s="19">
        <f t="shared" si="4"/>
        <v>-2.7165047621748233</v>
      </c>
      <c r="L57" s="19">
        <f t="shared" si="4"/>
        <v>-5.1807232067522628</v>
      </c>
      <c r="M57" s="19">
        <f t="shared" si="4"/>
        <v>-3.5849989361848884</v>
      </c>
      <c r="N57" s="19">
        <f t="shared" si="4"/>
        <v>0</v>
      </c>
      <c r="O57" s="19">
        <f t="shared" si="4"/>
        <v>0</v>
      </c>
      <c r="P57" s="19">
        <f t="shared" si="4"/>
        <v>0</v>
      </c>
      <c r="Q57" s="19">
        <f t="shared" si="4"/>
        <v>0</v>
      </c>
      <c r="R57" s="19">
        <f t="shared" si="4"/>
        <v>0</v>
      </c>
    </row>
    <row r="58" spans="1:18" ht="14.25" customHeight="1" x14ac:dyDescent="0.2">
      <c r="A58" s="1">
        <v>55</v>
      </c>
      <c r="B58" s="19">
        <f t="shared" si="1"/>
        <v>1.9496481786922817</v>
      </c>
      <c r="C58" s="19">
        <f t="shared" si="4"/>
        <v>5.4659965875042262</v>
      </c>
      <c r="D58" s="19">
        <f t="shared" si="4"/>
        <v>2.1848779861289702</v>
      </c>
      <c r="E58" s="19">
        <f t="shared" si="4"/>
        <v>-4.2087467254012587</v>
      </c>
      <c r="F58" s="19">
        <f t="shared" si="4"/>
        <v>1.7682070739067361</v>
      </c>
      <c r="G58" s="19">
        <f t="shared" si="4"/>
        <v>5.3274069142401448</v>
      </c>
      <c r="H58" s="19">
        <f t="shared" si="4"/>
        <v>-2.3022802906522815</v>
      </c>
      <c r="I58" s="19">
        <f t="shared" si="4"/>
        <v>-4.06727235273702</v>
      </c>
      <c r="J58" s="19">
        <f t="shared" si="4"/>
        <v>-3.3667628543276034</v>
      </c>
      <c r="K58" s="19">
        <f t="shared" si="4"/>
        <v>-2.7668104059188017</v>
      </c>
      <c r="L58" s="19">
        <f t="shared" si="4"/>
        <v>-5.2766625253958228</v>
      </c>
      <c r="M58" s="19">
        <f t="shared" si="4"/>
        <v>-3.6513878053734978</v>
      </c>
      <c r="N58" s="19">
        <f t="shared" si="4"/>
        <v>0</v>
      </c>
      <c r="O58" s="19">
        <f t="shared" si="4"/>
        <v>0</v>
      </c>
      <c r="P58" s="19">
        <f t="shared" si="4"/>
        <v>0</v>
      </c>
      <c r="Q58" s="19">
        <f t="shared" si="4"/>
        <v>0</v>
      </c>
      <c r="R58" s="19">
        <f t="shared" si="4"/>
        <v>0</v>
      </c>
    </row>
    <row r="59" spans="1:18" ht="14.25" customHeight="1" x14ac:dyDescent="0.2">
      <c r="A59" s="1">
        <v>56</v>
      </c>
      <c r="B59" s="19">
        <f t="shared" si="1"/>
        <v>1.9850963273957778</v>
      </c>
      <c r="C59" s="19">
        <f t="shared" si="4"/>
        <v>5.5653783436406661</v>
      </c>
      <c r="D59" s="19">
        <f t="shared" si="4"/>
        <v>2.2246030404222239</v>
      </c>
      <c r="E59" s="19">
        <f t="shared" si="4"/>
        <v>-4.2852693931358274</v>
      </c>
      <c r="F59" s="19">
        <f t="shared" si="4"/>
        <v>1.800356293432313</v>
      </c>
      <c r="G59" s="19">
        <f t="shared" si="4"/>
        <v>5.4242688581354201</v>
      </c>
      <c r="H59" s="19">
        <f t="shared" si="4"/>
        <v>-2.3441399323005045</v>
      </c>
      <c r="I59" s="19">
        <f t="shared" si="4"/>
        <v>-4.1412227591504207</v>
      </c>
      <c r="J59" s="19">
        <f t="shared" si="4"/>
        <v>-3.4279767244062871</v>
      </c>
      <c r="K59" s="19">
        <f t="shared" si="4"/>
        <v>-2.8171160496627796</v>
      </c>
      <c r="L59" s="19">
        <f t="shared" si="4"/>
        <v>-5.3726018440393837</v>
      </c>
      <c r="M59" s="19">
        <f t="shared" si="4"/>
        <v>-3.7177766745621068</v>
      </c>
      <c r="N59" s="19">
        <f t="shared" si="4"/>
        <v>0</v>
      </c>
      <c r="O59" s="19">
        <f t="shared" si="4"/>
        <v>0</v>
      </c>
      <c r="P59" s="19">
        <f t="shared" si="4"/>
        <v>0</v>
      </c>
      <c r="Q59" s="19">
        <f t="shared" si="4"/>
        <v>0</v>
      </c>
      <c r="R59" s="19">
        <f t="shared" si="4"/>
        <v>0</v>
      </c>
    </row>
    <row r="60" spans="1:18" ht="14.25" customHeight="1" x14ac:dyDescent="0.2">
      <c r="A60" s="1">
        <v>57</v>
      </c>
      <c r="B60" s="19">
        <f t="shared" si="1"/>
        <v>2.0205444760992739</v>
      </c>
      <c r="C60" s="19">
        <f t="shared" si="4"/>
        <v>5.6647600997771068</v>
      </c>
      <c r="D60" s="19">
        <f t="shared" si="4"/>
        <v>2.264328094715478</v>
      </c>
      <c r="E60" s="19">
        <f t="shared" si="4"/>
        <v>-4.3617920608703953</v>
      </c>
      <c r="F60" s="19">
        <f t="shared" si="4"/>
        <v>1.83250551295789</v>
      </c>
      <c r="G60" s="19">
        <f t="shared" si="4"/>
        <v>5.5211308020306955</v>
      </c>
      <c r="H60" s="19">
        <f t="shared" si="4"/>
        <v>-2.3859995739487281</v>
      </c>
      <c r="I60" s="19">
        <f t="shared" si="4"/>
        <v>-4.2151731655638205</v>
      </c>
      <c r="J60" s="19">
        <f t="shared" si="4"/>
        <v>-3.4891905944849708</v>
      </c>
      <c r="K60" s="19">
        <f t="shared" si="4"/>
        <v>-2.867421693406758</v>
      </c>
      <c r="L60" s="19">
        <f t="shared" si="4"/>
        <v>-5.4685411626829445</v>
      </c>
      <c r="M60" s="19">
        <f t="shared" si="4"/>
        <v>-3.7841655437507158</v>
      </c>
      <c r="N60" s="19">
        <f t="shared" si="4"/>
        <v>0</v>
      </c>
      <c r="O60" s="19">
        <f t="shared" si="4"/>
        <v>0</v>
      </c>
      <c r="P60" s="19">
        <f t="shared" si="4"/>
        <v>0</v>
      </c>
      <c r="Q60" s="19">
        <f t="shared" si="4"/>
        <v>0</v>
      </c>
      <c r="R60" s="19">
        <f t="shared" si="4"/>
        <v>0</v>
      </c>
    </row>
    <row r="61" spans="1:18" ht="14.25" customHeight="1" x14ac:dyDescent="0.2">
      <c r="A61" s="1">
        <v>58</v>
      </c>
      <c r="B61" s="19">
        <f t="shared" si="1"/>
        <v>2.0559926248027698</v>
      </c>
      <c r="C61" s="19">
        <f t="shared" si="4"/>
        <v>5.7641418559135476</v>
      </c>
      <c r="D61" s="19">
        <f t="shared" si="4"/>
        <v>2.3040531490087321</v>
      </c>
      <c r="E61" s="19">
        <f t="shared" si="4"/>
        <v>-4.438314728604964</v>
      </c>
      <c r="F61" s="19">
        <f t="shared" si="4"/>
        <v>1.864654732483467</v>
      </c>
      <c r="G61" s="19">
        <f t="shared" si="4"/>
        <v>5.6179927459259709</v>
      </c>
      <c r="H61" s="19">
        <f t="shared" si="4"/>
        <v>-2.4278592155969512</v>
      </c>
      <c r="I61" s="19">
        <f t="shared" si="4"/>
        <v>-4.2891235719772212</v>
      </c>
      <c r="J61" s="19">
        <f t="shared" si="4"/>
        <v>-3.5504044645636541</v>
      </c>
      <c r="K61" s="19">
        <f t="shared" si="4"/>
        <v>-2.917727337150736</v>
      </c>
      <c r="L61" s="19">
        <f t="shared" si="4"/>
        <v>-5.5644804813265045</v>
      </c>
      <c r="M61" s="19">
        <f t="shared" si="4"/>
        <v>-3.8505544129393248</v>
      </c>
      <c r="N61" s="19">
        <f t="shared" si="4"/>
        <v>0</v>
      </c>
      <c r="O61" s="19">
        <f t="shared" si="4"/>
        <v>0</v>
      </c>
      <c r="P61" s="19">
        <f t="shared" si="4"/>
        <v>0</v>
      </c>
      <c r="Q61" s="19">
        <f t="shared" si="4"/>
        <v>0</v>
      </c>
      <c r="R61" s="19">
        <f t="shared" si="4"/>
        <v>0</v>
      </c>
    </row>
    <row r="62" spans="1:18" ht="14.25" customHeight="1" x14ac:dyDescent="0.2">
      <c r="A62" s="1">
        <v>59</v>
      </c>
      <c r="B62" s="19">
        <f t="shared" si="1"/>
        <v>2.0914407735062657</v>
      </c>
      <c r="C62" s="19">
        <f t="shared" si="4"/>
        <v>5.8635236120499874</v>
      </c>
      <c r="D62" s="19">
        <f t="shared" si="4"/>
        <v>2.3437782033019858</v>
      </c>
      <c r="E62" s="19">
        <f t="shared" si="4"/>
        <v>-4.5148373963395318</v>
      </c>
      <c r="F62" s="19">
        <f t="shared" si="4"/>
        <v>1.8968039520090441</v>
      </c>
      <c r="G62" s="19">
        <f t="shared" si="4"/>
        <v>5.7148546898212462</v>
      </c>
      <c r="H62" s="19">
        <f t="shared" si="4"/>
        <v>-2.4697188572451747</v>
      </c>
      <c r="I62" s="19">
        <f t="shared" si="4"/>
        <v>-4.3630739783906218</v>
      </c>
      <c r="J62" s="19">
        <f t="shared" si="4"/>
        <v>-3.6116183346423378</v>
      </c>
      <c r="K62" s="19">
        <f t="shared" ref="C62:R77" si="5">K$4*$A62</f>
        <v>-2.9680329808947143</v>
      </c>
      <c r="L62" s="19">
        <f t="shared" si="5"/>
        <v>-5.6604197999700645</v>
      </c>
      <c r="M62" s="19">
        <f t="shared" si="5"/>
        <v>-3.9169432821279337</v>
      </c>
      <c r="N62" s="19">
        <f t="shared" si="5"/>
        <v>0</v>
      </c>
      <c r="O62" s="19">
        <f t="shared" si="5"/>
        <v>0</v>
      </c>
      <c r="P62" s="19">
        <f t="shared" si="5"/>
        <v>0</v>
      </c>
      <c r="Q62" s="19">
        <f t="shared" si="5"/>
        <v>0</v>
      </c>
      <c r="R62" s="19">
        <f t="shared" si="5"/>
        <v>0</v>
      </c>
    </row>
    <row r="63" spans="1:18" ht="14.25" customHeight="1" x14ac:dyDescent="0.2">
      <c r="A63" s="1">
        <v>60</v>
      </c>
      <c r="B63" s="19">
        <f t="shared" si="1"/>
        <v>2.126888922209762</v>
      </c>
      <c r="C63" s="19">
        <f t="shared" si="5"/>
        <v>5.9629053681864281</v>
      </c>
      <c r="D63" s="19">
        <f t="shared" si="5"/>
        <v>2.38350325759524</v>
      </c>
      <c r="E63" s="19">
        <f t="shared" si="5"/>
        <v>-4.5913600640741006</v>
      </c>
      <c r="F63" s="19">
        <f t="shared" si="5"/>
        <v>1.9289531715346211</v>
      </c>
      <c r="G63" s="19">
        <f t="shared" si="5"/>
        <v>5.8117166337165216</v>
      </c>
      <c r="H63" s="19">
        <f t="shared" si="5"/>
        <v>-2.5115784988933978</v>
      </c>
      <c r="I63" s="19">
        <f t="shared" si="5"/>
        <v>-4.4370243848040216</v>
      </c>
      <c r="J63" s="19">
        <f t="shared" si="5"/>
        <v>-3.6728322047210216</v>
      </c>
      <c r="K63" s="19">
        <f t="shared" si="5"/>
        <v>-3.0183386246386927</v>
      </c>
      <c r="L63" s="19">
        <f t="shared" si="5"/>
        <v>-5.7563591186136254</v>
      </c>
      <c r="M63" s="19">
        <f t="shared" si="5"/>
        <v>-3.9833321513165427</v>
      </c>
      <c r="N63" s="19">
        <f t="shared" si="5"/>
        <v>0</v>
      </c>
      <c r="O63" s="19">
        <f t="shared" si="5"/>
        <v>0</v>
      </c>
      <c r="P63" s="19">
        <f t="shared" si="5"/>
        <v>0</v>
      </c>
      <c r="Q63" s="19">
        <f t="shared" si="5"/>
        <v>0</v>
      </c>
      <c r="R63" s="19">
        <f t="shared" si="5"/>
        <v>0</v>
      </c>
    </row>
    <row r="64" spans="1:18" ht="14.25" customHeight="1" x14ac:dyDescent="0.2">
      <c r="A64" s="1">
        <v>61</v>
      </c>
      <c r="B64" s="19">
        <f t="shared" si="1"/>
        <v>2.1623370709132579</v>
      </c>
      <c r="C64" s="19">
        <f t="shared" si="5"/>
        <v>6.0622871243228689</v>
      </c>
      <c r="D64" s="19">
        <f t="shared" si="5"/>
        <v>2.4232283118884941</v>
      </c>
      <c r="E64" s="19">
        <f t="shared" si="5"/>
        <v>-4.6678827318086684</v>
      </c>
      <c r="F64" s="19">
        <f t="shared" si="5"/>
        <v>1.9611023910601981</v>
      </c>
      <c r="G64" s="19">
        <f t="shared" si="5"/>
        <v>5.9085785776117969</v>
      </c>
      <c r="H64" s="19">
        <f t="shared" si="5"/>
        <v>-2.5534381405416213</v>
      </c>
      <c r="I64" s="19">
        <f t="shared" si="5"/>
        <v>-4.5109747912174223</v>
      </c>
      <c r="J64" s="19">
        <f t="shared" si="5"/>
        <v>-3.7340460747997053</v>
      </c>
      <c r="K64" s="19">
        <f t="shared" si="5"/>
        <v>-3.0686442683826707</v>
      </c>
      <c r="L64" s="19">
        <f t="shared" si="5"/>
        <v>-5.8522984372571862</v>
      </c>
      <c r="M64" s="19">
        <f t="shared" si="5"/>
        <v>-4.0497210205051521</v>
      </c>
      <c r="N64" s="19">
        <f t="shared" si="5"/>
        <v>0</v>
      </c>
      <c r="O64" s="19">
        <f t="shared" si="5"/>
        <v>0</v>
      </c>
      <c r="P64" s="19">
        <f t="shared" si="5"/>
        <v>0</v>
      </c>
      <c r="Q64" s="19">
        <f t="shared" si="5"/>
        <v>0</v>
      </c>
      <c r="R64" s="19">
        <f t="shared" si="5"/>
        <v>0</v>
      </c>
    </row>
    <row r="65" spans="1:18" ht="14.25" customHeight="1" x14ac:dyDescent="0.2">
      <c r="A65" s="1">
        <v>62</v>
      </c>
      <c r="B65" s="19">
        <f t="shared" si="1"/>
        <v>2.1977852196167538</v>
      </c>
      <c r="C65" s="19">
        <f t="shared" si="5"/>
        <v>6.1616688804593096</v>
      </c>
      <c r="D65" s="19">
        <f t="shared" si="5"/>
        <v>2.4629533661817482</v>
      </c>
      <c r="E65" s="19">
        <f t="shared" si="5"/>
        <v>-4.7444053995432371</v>
      </c>
      <c r="F65" s="19">
        <f t="shared" si="5"/>
        <v>1.9932516105857752</v>
      </c>
      <c r="G65" s="19">
        <f t="shared" si="5"/>
        <v>6.0054405215070723</v>
      </c>
      <c r="H65" s="19">
        <f t="shared" si="5"/>
        <v>-2.5952977821898444</v>
      </c>
      <c r="I65" s="19">
        <f t="shared" si="5"/>
        <v>-4.584925197630823</v>
      </c>
      <c r="J65" s="19">
        <f t="shared" si="5"/>
        <v>-3.795259944878389</v>
      </c>
      <c r="K65" s="19">
        <f t="shared" si="5"/>
        <v>-3.1189499121266491</v>
      </c>
      <c r="L65" s="19">
        <f t="shared" si="5"/>
        <v>-5.9482377559007462</v>
      </c>
      <c r="M65" s="19">
        <f t="shared" si="5"/>
        <v>-4.1161098896937611</v>
      </c>
      <c r="N65" s="19">
        <f t="shared" si="5"/>
        <v>0</v>
      </c>
      <c r="O65" s="19">
        <f t="shared" si="5"/>
        <v>0</v>
      </c>
      <c r="P65" s="19">
        <f t="shared" si="5"/>
        <v>0</v>
      </c>
      <c r="Q65" s="19">
        <f t="shared" si="5"/>
        <v>0</v>
      </c>
      <c r="R65" s="19">
        <f t="shared" si="5"/>
        <v>0</v>
      </c>
    </row>
    <row r="66" spans="1:18" ht="14.25" customHeight="1" x14ac:dyDescent="0.2">
      <c r="A66" s="1">
        <v>63</v>
      </c>
      <c r="B66" s="19">
        <f t="shared" si="1"/>
        <v>2.2332333683202501</v>
      </c>
      <c r="C66" s="19">
        <f t="shared" si="5"/>
        <v>6.2610506365957495</v>
      </c>
      <c r="D66" s="19">
        <f t="shared" si="5"/>
        <v>2.5026784204750019</v>
      </c>
      <c r="E66" s="19">
        <f t="shared" si="5"/>
        <v>-4.820928067277805</v>
      </c>
      <c r="F66" s="19">
        <f t="shared" si="5"/>
        <v>2.0254008301113524</v>
      </c>
      <c r="G66" s="19">
        <f t="shared" si="5"/>
        <v>6.1023024654023477</v>
      </c>
      <c r="H66" s="19">
        <f t="shared" si="5"/>
        <v>-2.6371574238380679</v>
      </c>
      <c r="I66" s="19">
        <f t="shared" si="5"/>
        <v>-4.6588756040442227</v>
      </c>
      <c r="J66" s="19">
        <f t="shared" si="5"/>
        <v>-3.8564738149570728</v>
      </c>
      <c r="K66" s="19">
        <f t="shared" si="5"/>
        <v>-3.169255555870627</v>
      </c>
      <c r="L66" s="19">
        <f t="shared" si="5"/>
        <v>-6.0441770745443062</v>
      </c>
      <c r="M66" s="19">
        <f t="shared" si="5"/>
        <v>-4.1824987588823701</v>
      </c>
      <c r="N66" s="19">
        <f t="shared" si="5"/>
        <v>0</v>
      </c>
      <c r="O66" s="19">
        <f t="shared" si="5"/>
        <v>0</v>
      </c>
      <c r="P66" s="19">
        <f t="shared" si="5"/>
        <v>0</v>
      </c>
      <c r="Q66" s="19">
        <f t="shared" si="5"/>
        <v>0</v>
      </c>
      <c r="R66" s="19">
        <f t="shared" si="5"/>
        <v>0</v>
      </c>
    </row>
    <row r="67" spans="1:18" ht="14.25" customHeight="1" x14ac:dyDescent="0.2">
      <c r="A67" s="1">
        <v>64</v>
      </c>
      <c r="B67" s="19">
        <f t="shared" si="1"/>
        <v>2.268681517023746</v>
      </c>
      <c r="C67" s="19">
        <f t="shared" si="5"/>
        <v>6.3604323927321902</v>
      </c>
      <c r="D67" s="19">
        <f t="shared" si="5"/>
        <v>2.542403474768256</v>
      </c>
      <c r="E67" s="19">
        <f t="shared" si="5"/>
        <v>-4.8974507350123737</v>
      </c>
      <c r="F67" s="19">
        <f t="shared" si="5"/>
        <v>2.0575500496369292</v>
      </c>
      <c r="G67" s="19">
        <f t="shared" si="5"/>
        <v>6.199164409297623</v>
      </c>
      <c r="H67" s="19">
        <f t="shared" si="5"/>
        <v>-2.679017065486291</v>
      </c>
      <c r="I67" s="19">
        <f t="shared" si="5"/>
        <v>-4.7328260104576234</v>
      </c>
      <c r="J67" s="19">
        <f t="shared" si="5"/>
        <v>-3.9176876850357565</v>
      </c>
      <c r="K67" s="19">
        <f t="shared" si="5"/>
        <v>-3.2195611996146054</v>
      </c>
      <c r="L67" s="19">
        <f t="shared" si="5"/>
        <v>-6.1401163931878671</v>
      </c>
      <c r="M67" s="19">
        <f t="shared" si="5"/>
        <v>-4.2488876280709791</v>
      </c>
      <c r="N67" s="19">
        <f t="shared" si="5"/>
        <v>0</v>
      </c>
      <c r="O67" s="19">
        <f t="shared" si="5"/>
        <v>0</v>
      </c>
      <c r="P67" s="19">
        <f t="shared" si="5"/>
        <v>0</v>
      </c>
      <c r="Q67" s="19">
        <f t="shared" si="5"/>
        <v>0</v>
      </c>
      <c r="R67" s="19">
        <f t="shared" si="5"/>
        <v>0</v>
      </c>
    </row>
    <row r="68" spans="1:18" ht="14.25" customHeight="1" x14ac:dyDescent="0.2">
      <c r="A68" s="1">
        <v>65</v>
      </c>
      <c r="B68" s="19">
        <f t="shared" si="1"/>
        <v>2.3041296657272419</v>
      </c>
      <c r="C68" s="19">
        <f t="shared" si="5"/>
        <v>6.4598141488686309</v>
      </c>
      <c r="D68" s="19">
        <f t="shared" si="5"/>
        <v>2.5821285290615101</v>
      </c>
      <c r="E68" s="19">
        <f t="shared" si="5"/>
        <v>-4.9739734027469424</v>
      </c>
      <c r="F68" s="19">
        <f t="shared" si="5"/>
        <v>2.089699269162506</v>
      </c>
      <c r="G68" s="19">
        <f t="shared" si="5"/>
        <v>6.2960263531928984</v>
      </c>
      <c r="H68" s="19">
        <f t="shared" si="5"/>
        <v>-2.7208767071345141</v>
      </c>
      <c r="I68" s="19">
        <f t="shared" si="5"/>
        <v>-4.8067764168710241</v>
      </c>
      <c r="J68" s="19">
        <f t="shared" si="5"/>
        <v>-3.9789015551144402</v>
      </c>
      <c r="K68" s="19">
        <f t="shared" si="5"/>
        <v>-3.2698668433585838</v>
      </c>
      <c r="L68" s="19">
        <f t="shared" si="5"/>
        <v>-6.2360557118314279</v>
      </c>
      <c r="M68" s="19">
        <f t="shared" si="5"/>
        <v>-4.3152764972595881</v>
      </c>
      <c r="N68" s="19">
        <f t="shared" si="5"/>
        <v>0</v>
      </c>
      <c r="O68" s="19">
        <f t="shared" si="5"/>
        <v>0</v>
      </c>
      <c r="P68" s="19">
        <f t="shared" si="5"/>
        <v>0</v>
      </c>
      <c r="Q68" s="19">
        <f t="shared" si="5"/>
        <v>0</v>
      </c>
      <c r="R68" s="19">
        <f t="shared" si="5"/>
        <v>0</v>
      </c>
    </row>
    <row r="69" spans="1:18" ht="14.25" customHeight="1" x14ac:dyDescent="0.2">
      <c r="A69" s="1">
        <v>66</v>
      </c>
      <c r="B69" s="19">
        <f t="shared" si="1"/>
        <v>2.3395778144307382</v>
      </c>
      <c r="C69" s="19">
        <f t="shared" si="5"/>
        <v>6.5591959050050708</v>
      </c>
      <c r="D69" s="19">
        <f t="shared" si="5"/>
        <v>2.6218535833547638</v>
      </c>
      <c r="E69" s="19">
        <f t="shared" si="5"/>
        <v>-5.0504960704815103</v>
      </c>
      <c r="F69" s="19">
        <f t="shared" si="5"/>
        <v>2.1218484886880833</v>
      </c>
      <c r="G69" s="19">
        <f t="shared" si="5"/>
        <v>6.3928882970881737</v>
      </c>
      <c r="H69" s="19">
        <f t="shared" si="5"/>
        <v>-2.7627363487827377</v>
      </c>
      <c r="I69" s="19">
        <f t="shared" si="5"/>
        <v>-4.8807268232844239</v>
      </c>
      <c r="J69" s="19">
        <f t="shared" si="5"/>
        <v>-4.0401154251931235</v>
      </c>
      <c r="K69" s="19">
        <f t="shared" si="5"/>
        <v>-3.3201724871025617</v>
      </c>
      <c r="L69" s="19">
        <f t="shared" si="5"/>
        <v>-6.3319950304749879</v>
      </c>
      <c r="M69" s="19">
        <f t="shared" si="5"/>
        <v>-4.381665366448197</v>
      </c>
      <c r="N69" s="19">
        <f t="shared" si="5"/>
        <v>0</v>
      </c>
      <c r="O69" s="19">
        <f t="shared" si="5"/>
        <v>0</v>
      </c>
      <c r="P69" s="19">
        <f t="shared" si="5"/>
        <v>0</v>
      </c>
      <c r="Q69" s="19">
        <f t="shared" si="5"/>
        <v>0</v>
      </c>
      <c r="R69" s="19">
        <f t="shared" si="5"/>
        <v>0</v>
      </c>
    </row>
    <row r="70" spans="1:18" ht="14.25" customHeight="1" x14ac:dyDescent="0.2">
      <c r="A70" s="1">
        <v>67</v>
      </c>
      <c r="B70" s="19">
        <f t="shared" ref="B70:O103" si="6">B$4*$A70</f>
        <v>2.3750259631342341</v>
      </c>
      <c r="C70" s="19">
        <f t="shared" si="6"/>
        <v>6.6585776611415115</v>
      </c>
      <c r="D70" s="19">
        <f t="shared" si="6"/>
        <v>2.6615786376480179</v>
      </c>
      <c r="E70" s="19">
        <f t="shared" si="6"/>
        <v>-5.127018738216079</v>
      </c>
      <c r="F70" s="19">
        <f t="shared" si="6"/>
        <v>2.1539977082136601</v>
      </c>
      <c r="G70" s="19">
        <f t="shared" si="6"/>
        <v>6.4897502409834491</v>
      </c>
      <c r="H70" s="19">
        <f t="shared" si="6"/>
        <v>-2.8045959904309608</v>
      </c>
      <c r="I70" s="19">
        <f t="shared" si="6"/>
        <v>-4.9546772296978245</v>
      </c>
      <c r="J70" s="19">
        <f t="shared" si="6"/>
        <v>-4.1013292952718077</v>
      </c>
      <c r="K70" s="19">
        <f t="shared" si="6"/>
        <v>-3.3704781308465401</v>
      </c>
      <c r="L70" s="19">
        <f t="shared" si="6"/>
        <v>-6.4279343491185479</v>
      </c>
      <c r="M70" s="19">
        <f t="shared" si="6"/>
        <v>-4.448054235636806</v>
      </c>
      <c r="N70" s="19">
        <f t="shared" si="6"/>
        <v>0</v>
      </c>
      <c r="O70" s="19">
        <f t="shared" si="6"/>
        <v>0</v>
      </c>
      <c r="P70" s="19">
        <f t="shared" si="5"/>
        <v>0</v>
      </c>
      <c r="Q70" s="19">
        <f t="shared" si="5"/>
        <v>0</v>
      </c>
      <c r="R70" s="19">
        <f t="shared" si="5"/>
        <v>0</v>
      </c>
    </row>
    <row r="71" spans="1:18" ht="14.25" customHeight="1" x14ac:dyDescent="0.2">
      <c r="A71" s="1">
        <v>68</v>
      </c>
      <c r="B71" s="19">
        <f t="shared" si="6"/>
        <v>2.41047411183773</v>
      </c>
      <c r="C71" s="19">
        <f t="shared" si="5"/>
        <v>6.7579594172779522</v>
      </c>
      <c r="D71" s="19">
        <f t="shared" si="5"/>
        <v>2.7013036919412721</v>
      </c>
      <c r="E71" s="19">
        <f t="shared" si="5"/>
        <v>-5.2035414059506468</v>
      </c>
      <c r="F71" s="19">
        <f t="shared" si="5"/>
        <v>2.1861469277392374</v>
      </c>
      <c r="G71" s="19">
        <f t="shared" si="5"/>
        <v>6.5866121848787245</v>
      </c>
      <c r="H71" s="19">
        <f t="shared" si="5"/>
        <v>-2.8464556320791843</v>
      </c>
      <c r="I71" s="19">
        <f t="shared" si="5"/>
        <v>-5.0286276361112252</v>
      </c>
      <c r="J71" s="19">
        <f t="shared" si="5"/>
        <v>-4.162543165350491</v>
      </c>
      <c r="K71" s="19">
        <f t="shared" si="5"/>
        <v>-3.4207837745905181</v>
      </c>
      <c r="L71" s="19">
        <f t="shared" si="5"/>
        <v>-6.5238736677621088</v>
      </c>
      <c r="M71" s="19">
        <f t="shared" si="5"/>
        <v>-4.514443104825415</v>
      </c>
      <c r="N71" s="19">
        <f t="shared" si="5"/>
        <v>0</v>
      </c>
      <c r="O71" s="19">
        <f t="shared" si="5"/>
        <v>0</v>
      </c>
      <c r="P71" s="19">
        <f t="shared" si="5"/>
        <v>0</v>
      </c>
      <c r="Q71" s="19">
        <f t="shared" si="5"/>
        <v>0</v>
      </c>
      <c r="R71" s="19">
        <f t="shared" si="5"/>
        <v>0</v>
      </c>
    </row>
    <row r="72" spans="1:18" ht="14.25" customHeight="1" x14ac:dyDescent="0.2">
      <c r="A72" s="1">
        <v>69</v>
      </c>
      <c r="B72" s="19">
        <f t="shared" si="6"/>
        <v>2.4459222605412263</v>
      </c>
      <c r="C72" s="19">
        <f t="shared" si="5"/>
        <v>6.857341173414393</v>
      </c>
      <c r="D72" s="19">
        <f t="shared" si="5"/>
        <v>2.7410287462345262</v>
      </c>
      <c r="E72" s="19">
        <f t="shared" si="5"/>
        <v>-5.2800640736852156</v>
      </c>
      <c r="F72" s="19">
        <f t="shared" si="5"/>
        <v>2.2182961472648142</v>
      </c>
      <c r="G72" s="19">
        <f t="shared" si="5"/>
        <v>6.6834741287739998</v>
      </c>
      <c r="H72" s="19">
        <f t="shared" si="5"/>
        <v>-2.8883152737274074</v>
      </c>
      <c r="I72" s="19">
        <f t="shared" si="5"/>
        <v>-5.102578042524625</v>
      </c>
      <c r="J72" s="19">
        <f t="shared" si="5"/>
        <v>-4.2237570354291751</v>
      </c>
      <c r="K72" s="19">
        <f t="shared" si="5"/>
        <v>-3.4710894183344965</v>
      </c>
      <c r="L72" s="19">
        <f t="shared" si="5"/>
        <v>-6.6198129864056696</v>
      </c>
      <c r="M72" s="19">
        <f t="shared" si="5"/>
        <v>-4.580831974014024</v>
      </c>
      <c r="N72" s="19">
        <f t="shared" si="5"/>
        <v>0</v>
      </c>
      <c r="O72" s="19">
        <f t="shared" si="5"/>
        <v>0</v>
      </c>
      <c r="P72" s="19">
        <f t="shared" si="5"/>
        <v>0</v>
      </c>
      <c r="Q72" s="19">
        <f t="shared" si="5"/>
        <v>0</v>
      </c>
      <c r="R72" s="19">
        <f t="shared" si="5"/>
        <v>0</v>
      </c>
    </row>
    <row r="73" spans="1:18" ht="14.25" customHeight="1" x14ac:dyDescent="0.2">
      <c r="A73" s="1">
        <v>70</v>
      </c>
      <c r="B73" s="19">
        <f t="shared" si="6"/>
        <v>2.4813704092447222</v>
      </c>
      <c r="C73" s="19">
        <f t="shared" si="5"/>
        <v>6.9567229295508328</v>
      </c>
      <c r="D73" s="19">
        <f t="shared" si="5"/>
        <v>2.7807538005277799</v>
      </c>
      <c r="E73" s="19">
        <f t="shared" si="5"/>
        <v>-5.3565867414197834</v>
      </c>
      <c r="F73" s="19">
        <f t="shared" si="5"/>
        <v>2.2504453667903914</v>
      </c>
      <c r="G73" s="19">
        <f t="shared" si="5"/>
        <v>6.7803360726692752</v>
      </c>
      <c r="H73" s="19">
        <f t="shared" si="5"/>
        <v>-2.9301749153756309</v>
      </c>
      <c r="I73" s="19">
        <f t="shared" si="5"/>
        <v>-5.1765284489380257</v>
      </c>
      <c r="J73" s="19">
        <f t="shared" si="5"/>
        <v>-4.2849709055078584</v>
      </c>
      <c r="K73" s="19">
        <f t="shared" si="5"/>
        <v>-3.5213950620784749</v>
      </c>
      <c r="L73" s="19">
        <f t="shared" si="5"/>
        <v>-6.7157523050492296</v>
      </c>
      <c r="M73" s="19">
        <f t="shared" si="5"/>
        <v>-4.647220843202633</v>
      </c>
      <c r="N73" s="19">
        <f t="shared" si="5"/>
        <v>0</v>
      </c>
      <c r="O73" s="19">
        <f t="shared" si="5"/>
        <v>0</v>
      </c>
      <c r="P73" s="19">
        <f t="shared" si="5"/>
        <v>0</v>
      </c>
      <c r="Q73" s="19">
        <f t="shared" si="5"/>
        <v>0</v>
      </c>
      <c r="R73" s="19">
        <f t="shared" si="5"/>
        <v>0</v>
      </c>
    </row>
    <row r="74" spans="1:18" ht="14.25" customHeight="1" x14ac:dyDescent="0.2">
      <c r="A74" s="1">
        <v>71</v>
      </c>
      <c r="B74" s="19">
        <f t="shared" si="6"/>
        <v>2.5168185579482181</v>
      </c>
      <c r="C74" s="19">
        <f t="shared" si="5"/>
        <v>7.0561046856872736</v>
      </c>
      <c r="D74" s="19">
        <f t="shared" si="5"/>
        <v>2.820478854821034</v>
      </c>
      <c r="E74" s="19">
        <f t="shared" si="5"/>
        <v>-5.4331094091543521</v>
      </c>
      <c r="F74" s="19">
        <f t="shared" si="5"/>
        <v>2.2825945863159682</v>
      </c>
      <c r="G74" s="19">
        <f t="shared" si="5"/>
        <v>6.8771980165645505</v>
      </c>
      <c r="H74" s="19">
        <f t="shared" si="5"/>
        <v>-2.972034557023854</v>
      </c>
      <c r="I74" s="19">
        <f t="shared" si="5"/>
        <v>-5.2504788553514263</v>
      </c>
      <c r="J74" s="19">
        <f t="shared" si="5"/>
        <v>-4.3461847755865426</v>
      </c>
      <c r="K74" s="19">
        <f t="shared" si="5"/>
        <v>-3.5717007058224528</v>
      </c>
      <c r="L74" s="19">
        <f t="shared" si="5"/>
        <v>-6.8116916236927896</v>
      </c>
      <c r="M74" s="19">
        <f t="shared" si="5"/>
        <v>-4.7136097123912428</v>
      </c>
      <c r="N74" s="19">
        <f t="shared" si="5"/>
        <v>0</v>
      </c>
      <c r="O74" s="19">
        <f t="shared" si="5"/>
        <v>0</v>
      </c>
      <c r="P74" s="19">
        <f t="shared" si="5"/>
        <v>0</v>
      </c>
      <c r="Q74" s="19">
        <f t="shared" si="5"/>
        <v>0</v>
      </c>
      <c r="R74" s="19">
        <f t="shared" si="5"/>
        <v>0</v>
      </c>
    </row>
    <row r="75" spans="1:18" ht="14.25" customHeight="1" x14ac:dyDescent="0.2">
      <c r="A75" s="1">
        <v>72</v>
      </c>
      <c r="B75" s="19">
        <f t="shared" si="6"/>
        <v>2.5522667066517144</v>
      </c>
      <c r="C75" s="19">
        <f t="shared" si="5"/>
        <v>7.1554864418237143</v>
      </c>
      <c r="D75" s="19">
        <f t="shared" si="5"/>
        <v>2.8602039091142881</v>
      </c>
      <c r="E75" s="19">
        <f t="shared" si="5"/>
        <v>-5.50963207688892</v>
      </c>
      <c r="F75" s="19">
        <f t="shared" si="5"/>
        <v>2.3147438058415455</v>
      </c>
      <c r="G75" s="19">
        <f t="shared" si="5"/>
        <v>6.9740599604598259</v>
      </c>
      <c r="H75" s="19">
        <f t="shared" si="5"/>
        <v>-3.0138941986720775</v>
      </c>
      <c r="I75" s="19">
        <f t="shared" si="5"/>
        <v>-5.3244292617648261</v>
      </c>
      <c r="J75" s="19">
        <f t="shared" si="5"/>
        <v>-4.4073986456652259</v>
      </c>
      <c r="K75" s="19">
        <f t="shared" si="5"/>
        <v>-3.6220063495664312</v>
      </c>
      <c r="L75" s="19">
        <f t="shared" si="5"/>
        <v>-6.9076309423363504</v>
      </c>
      <c r="M75" s="19">
        <f t="shared" si="5"/>
        <v>-4.7799985815798518</v>
      </c>
      <c r="N75" s="19">
        <f t="shared" si="5"/>
        <v>0</v>
      </c>
      <c r="O75" s="19">
        <f t="shared" si="5"/>
        <v>0</v>
      </c>
      <c r="P75" s="19">
        <f t="shared" si="5"/>
        <v>0</v>
      </c>
      <c r="Q75" s="19">
        <f t="shared" si="5"/>
        <v>0</v>
      </c>
      <c r="R75" s="19">
        <f t="shared" si="5"/>
        <v>0</v>
      </c>
    </row>
    <row r="76" spans="1:18" ht="14.25" customHeight="1" x14ac:dyDescent="0.2">
      <c r="A76" s="1">
        <v>73</v>
      </c>
      <c r="B76" s="19">
        <f t="shared" si="6"/>
        <v>2.5877148553552103</v>
      </c>
      <c r="C76" s="19">
        <f t="shared" si="5"/>
        <v>7.2548681979601541</v>
      </c>
      <c r="D76" s="19">
        <f t="shared" si="5"/>
        <v>2.8999289634075418</v>
      </c>
      <c r="E76" s="19">
        <f t="shared" si="5"/>
        <v>-5.5861547446234887</v>
      </c>
      <c r="F76" s="19">
        <f t="shared" si="5"/>
        <v>2.3468930253671223</v>
      </c>
      <c r="G76" s="19">
        <f t="shared" si="5"/>
        <v>7.0709219043551013</v>
      </c>
      <c r="H76" s="19">
        <f t="shared" si="5"/>
        <v>-3.0557538403203006</v>
      </c>
      <c r="I76" s="19">
        <f t="shared" si="5"/>
        <v>-5.3983796681782268</v>
      </c>
      <c r="J76" s="19">
        <f t="shared" si="5"/>
        <v>-4.4686125157439101</v>
      </c>
      <c r="K76" s="19">
        <f t="shared" si="5"/>
        <v>-3.6723119933104091</v>
      </c>
      <c r="L76" s="19">
        <f t="shared" si="5"/>
        <v>-7.0035702609799113</v>
      </c>
      <c r="M76" s="19">
        <f t="shared" si="5"/>
        <v>-4.8463874507684608</v>
      </c>
      <c r="N76" s="19">
        <f t="shared" si="5"/>
        <v>0</v>
      </c>
      <c r="O76" s="19">
        <f t="shared" si="5"/>
        <v>0</v>
      </c>
      <c r="P76" s="19">
        <f t="shared" si="5"/>
        <v>0</v>
      </c>
      <c r="Q76" s="19">
        <f t="shared" si="5"/>
        <v>0</v>
      </c>
      <c r="R76" s="19">
        <f t="shared" si="5"/>
        <v>0</v>
      </c>
    </row>
    <row r="77" spans="1:18" ht="14.25" customHeight="1" x14ac:dyDescent="0.2">
      <c r="A77" s="1">
        <v>74</v>
      </c>
      <c r="B77" s="19">
        <f t="shared" si="6"/>
        <v>2.6231630040587062</v>
      </c>
      <c r="C77" s="19">
        <f t="shared" si="5"/>
        <v>7.3542499540965949</v>
      </c>
      <c r="D77" s="19">
        <f t="shared" si="5"/>
        <v>2.9396540177007959</v>
      </c>
      <c r="E77" s="19">
        <f t="shared" si="5"/>
        <v>-5.6626774123580574</v>
      </c>
      <c r="F77" s="19">
        <f t="shared" si="5"/>
        <v>2.3790422448926996</v>
      </c>
      <c r="G77" s="19">
        <f t="shared" si="5"/>
        <v>7.1677838482503766</v>
      </c>
      <c r="H77" s="19">
        <f t="shared" si="5"/>
        <v>-3.0976134819685242</v>
      </c>
      <c r="I77" s="19">
        <f t="shared" si="5"/>
        <v>-5.4723300745916275</v>
      </c>
      <c r="J77" s="19">
        <f t="shared" si="5"/>
        <v>-4.5298263858225933</v>
      </c>
      <c r="K77" s="19">
        <f t="shared" ref="C77:R91" si="7">K$4*$A77</f>
        <v>-3.7226176370543875</v>
      </c>
      <c r="L77" s="19">
        <f t="shared" si="7"/>
        <v>-7.0995095796234713</v>
      </c>
      <c r="M77" s="19">
        <f t="shared" si="7"/>
        <v>-4.9127763199570698</v>
      </c>
      <c r="N77" s="19">
        <f t="shared" si="7"/>
        <v>0</v>
      </c>
      <c r="O77" s="19">
        <f t="shared" si="7"/>
        <v>0</v>
      </c>
      <c r="P77" s="19">
        <f t="shared" si="7"/>
        <v>0</v>
      </c>
      <c r="Q77" s="19">
        <f t="shared" si="7"/>
        <v>0</v>
      </c>
      <c r="R77" s="19">
        <f t="shared" si="7"/>
        <v>0</v>
      </c>
    </row>
    <row r="78" spans="1:18" ht="14.25" customHeight="1" x14ac:dyDescent="0.2">
      <c r="A78" s="1">
        <v>75</v>
      </c>
      <c r="B78" s="19">
        <f t="shared" si="6"/>
        <v>2.6586111527622025</v>
      </c>
      <c r="C78" s="19">
        <f t="shared" si="7"/>
        <v>7.4536317102330356</v>
      </c>
      <c r="D78" s="19">
        <f t="shared" si="7"/>
        <v>2.9793790719940501</v>
      </c>
      <c r="E78" s="19">
        <f t="shared" si="7"/>
        <v>-5.7392000800926253</v>
      </c>
      <c r="F78" s="19">
        <f t="shared" si="7"/>
        <v>2.4111914644182764</v>
      </c>
      <c r="G78" s="19">
        <f t="shared" si="7"/>
        <v>7.264645792145652</v>
      </c>
      <c r="H78" s="19">
        <f t="shared" si="7"/>
        <v>-3.1394731236167472</v>
      </c>
      <c r="I78" s="19">
        <f t="shared" si="7"/>
        <v>-5.5462804810050272</v>
      </c>
      <c r="J78" s="19">
        <f t="shared" si="7"/>
        <v>-4.5910402559012775</v>
      </c>
      <c r="K78" s="19">
        <f t="shared" si="7"/>
        <v>-3.7729232807983659</v>
      </c>
      <c r="L78" s="19">
        <f t="shared" si="7"/>
        <v>-7.1954488982670313</v>
      </c>
      <c r="M78" s="19">
        <f t="shared" si="7"/>
        <v>-4.9791651891456787</v>
      </c>
      <c r="N78" s="19">
        <f t="shared" si="7"/>
        <v>0</v>
      </c>
      <c r="O78" s="19">
        <f t="shared" si="7"/>
        <v>0</v>
      </c>
      <c r="P78" s="19">
        <f t="shared" si="7"/>
        <v>0</v>
      </c>
      <c r="Q78" s="19">
        <f t="shared" si="7"/>
        <v>0</v>
      </c>
      <c r="R78" s="19">
        <f t="shared" si="7"/>
        <v>0</v>
      </c>
    </row>
    <row r="79" spans="1:18" ht="14.25" customHeight="1" x14ac:dyDescent="0.2">
      <c r="A79" s="1">
        <v>76</v>
      </c>
      <c r="B79" s="19">
        <f t="shared" si="6"/>
        <v>2.6940593014656984</v>
      </c>
      <c r="C79" s="19">
        <f t="shared" si="7"/>
        <v>7.5530134663694755</v>
      </c>
      <c r="D79" s="19">
        <f t="shared" si="7"/>
        <v>3.0191041262873042</v>
      </c>
      <c r="E79" s="19">
        <f t="shared" si="7"/>
        <v>-5.815722747827194</v>
      </c>
      <c r="F79" s="19">
        <f t="shared" si="7"/>
        <v>2.4433406839438536</v>
      </c>
      <c r="G79" s="19">
        <f t="shared" si="7"/>
        <v>7.3615077360409273</v>
      </c>
      <c r="H79" s="19">
        <f t="shared" si="7"/>
        <v>-3.1813327652649708</v>
      </c>
      <c r="I79" s="19">
        <f t="shared" si="7"/>
        <v>-5.6202308874184279</v>
      </c>
      <c r="J79" s="19">
        <f t="shared" si="7"/>
        <v>-4.6522541259799608</v>
      </c>
      <c r="K79" s="19">
        <f t="shared" si="7"/>
        <v>-3.8232289245423439</v>
      </c>
      <c r="L79" s="19">
        <f t="shared" si="7"/>
        <v>-7.2913882169105921</v>
      </c>
      <c r="M79" s="19">
        <f t="shared" si="7"/>
        <v>-5.0455540583342877</v>
      </c>
      <c r="N79" s="19">
        <f t="shared" si="7"/>
        <v>0</v>
      </c>
      <c r="O79" s="19">
        <f t="shared" si="7"/>
        <v>0</v>
      </c>
      <c r="P79" s="19">
        <f t="shared" si="7"/>
        <v>0</v>
      </c>
      <c r="Q79" s="19">
        <f t="shared" si="7"/>
        <v>0</v>
      </c>
      <c r="R79" s="19">
        <f t="shared" si="7"/>
        <v>0</v>
      </c>
    </row>
    <row r="80" spans="1:18" ht="14.25" customHeight="1" x14ac:dyDescent="0.2">
      <c r="A80" s="1">
        <v>77</v>
      </c>
      <c r="B80" s="19">
        <f t="shared" si="6"/>
        <v>2.7295074501691943</v>
      </c>
      <c r="C80" s="19">
        <f t="shared" si="7"/>
        <v>7.6523952225059162</v>
      </c>
      <c r="D80" s="19">
        <f t="shared" si="7"/>
        <v>3.0588291805805579</v>
      </c>
      <c r="E80" s="19">
        <f t="shared" si="7"/>
        <v>-5.8922454155617618</v>
      </c>
      <c r="F80" s="19">
        <f t="shared" si="7"/>
        <v>2.4754899034694304</v>
      </c>
      <c r="G80" s="19">
        <f t="shared" si="7"/>
        <v>7.4583696799362027</v>
      </c>
      <c r="H80" s="19">
        <f t="shared" si="7"/>
        <v>-3.2231924069131939</v>
      </c>
      <c r="I80" s="19">
        <f t="shared" si="7"/>
        <v>-5.6941812938318286</v>
      </c>
      <c r="J80" s="19">
        <f t="shared" si="7"/>
        <v>-4.7134679960586441</v>
      </c>
      <c r="K80" s="19">
        <f t="shared" si="7"/>
        <v>-3.8735345682863223</v>
      </c>
      <c r="L80" s="19">
        <f t="shared" si="7"/>
        <v>-7.387327535554153</v>
      </c>
      <c r="M80" s="19">
        <f t="shared" si="7"/>
        <v>-5.1119429275228967</v>
      </c>
      <c r="N80" s="19">
        <f t="shared" si="7"/>
        <v>0</v>
      </c>
      <c r="O80" s="19">
        <f t="shared" si="7"/>
        <v>0</v>
      </c>
      <c r="P80" s="19">
        <f t="shared" si="7"/>
        <v>0</v>
      </c>
      <c r="Q80" s="19">
        <f t="shared" si="7"/>
        <v>0</v>
      </c>
      <c r="R80" s="19">
        <f t="shared" si="7"/>
        <v>0</v>
      </c>
    </row>
    <row r="81" spans="1:18" ht="14.25" customHeight="1" x14ac:dyDescent="0.2">
      <c r="A81" s="1">
        <v>78</v>
      </c>
      <c r="B81" s="19">
        <f t="shared" si="6"/>
        <v>2.7649555988726906</v>
      </c>
      <c r="C81" s="19">
        <f t="shared" si="7"/>
        <v>7.7517769786423569</v>
      </c>
      <c r="D81" s="19">
        <f t="shared" si="7"/>
        <v>3.098554234873812</v>
      </c>
      <c r="E81" s="19">
        <f t="shared" si="7"/>
        <v>-5.9687680832963306</v>
      </c>
      <c r="F81" s="19">
        <f t="shared" si="7"/>
        <v>2.5076391229950077</v>
      </c>
      <c r="G81" s="19">
        <f t="shared" si="7"/>
        <v>7.5552316238314781</v>
      </c>
      <c r="H81" s="19">
        <f t="shared" si="7"/>
        <v>-3.2650520485614174</v>
      </c>
      <c r="I81" s="19">
        <f t="shared" si="7"/>
        <v>-5.7681317002452284</v>
      </c>
      <c r="J81" s="19">
        <f t="shared" si="7"/>
        <v>-4.7746818661373283</v>
      </c>
      <c r="K81" s="19">
        <f t="shared" si="7"/>
        <v>-3.9238402120303002</v>
      </c>
      <c r="L81" s="19">
        <f t="shared" si="7"/>
        <v>-7.483266854197713</v>
      </c>
      <c r="M81" s="19">
        <f t="shared" si="7"/>
        <v>-5.1783317967115057</v>
      </c>
      <c r="N81" s="19">
        <f t="shared" si="7"/>
        <v>0</v>
      </c>
      <c r="O81" s="19">
        <f t="shared" si="7"/>
        <v>0</v>
      </c>
      <c r="P81" s="19">
        <f t="shared" si="7"/>
        <v>0</v>
      </c>
      <c r="Q81" s="19">
        <f t="shared" si="7"/>
        <v>0</v>
      </c>
      <c r="R81" s="19">
        <f t="shared" si="7"/>
        <v>0</v>
      </c>
    </row>
    <row r="82" spans="1:18" ht="14.25" customHeight="1" x14ac:dyDescent="0.2">
      <c r="A82" s="1">
        <v>79</v>
      </c>
      <c r="B82" s="19">
        <f t="shared" si="6"/>
        <v>2.8004037475761865</v>
      </c>
      <c r="C82" s="19">
        <f t="shared" si="7"/>
        <v>7.8511587347787977</v>
      </c>
      <c r="D82" s="19">
        <f t="shared" si="7"/>
        <v>3.1382792891670661</v>
      </c>
      <c r="E82" s="19">
        <f t="shared" si="7"/>
        <v>-6.0452907510308984</v>
      </c>
      <c r="F82" s="19">
        <f t="shared" si="7"/>
        <v>2.5397883425205845</v>
      </c>
      <c r="G82" s="19">
        <f t="shared" si="7"/>
        <v>7.6520935677267534</v>
      </c>
      <c r="H82" s="19">
        <f t="shared" si="7"/>
        <v>-3.3069116902096405</v>
      </c>
      <c r="I82" s="19">
        <f t="shared" si="7"/>
        <v>-5.842082106658629</v>
      </c>
      <c r="J82" s="19">
        <f t="shared" si="7"/>
        <v>-4.8358957362160115</v>
      </c>
      <c r="K82" s="19">
        <f t="shared" si="7"/>
        <v>-3.9741458557742786</v>
      </c>
      <c r="L82" s="19">
        <f t="shared" si="7"/>
        <v>-7.579206172841273</v>
      </c>
      <c r="M82" s="19">
        <f t="shared" si="7"/>
        <v>-5.2447206659001147</v>
      </c>
      <c r="N82" s="19">
        <f t="shared" si="7"/>
        <v>0</v>
      </c>
      <c r="O82" s="19">
        <f t="shared" si="7"/>
        <v>0</v>
      </c>
      <c r="P82" s="19">
        <f t="shared" si="7"/>
        <v>0</v>
      </c>
      <c r="Q82" s="19">
        <f t="shared" si="7"/>
        <v>0</v>
      </c>
      <c r="R82" s="19">
        <f t="shared" si="7"/>
        <v>0</v>
      </c>
    </row>
    <row r="83" spans="1:18" ht="14.25" customHeight="1" x14ac:dyDescent="0.2">
      <c r="A83" s="1">
        <v>80</v>
      </c>
      <c r="B83" s="19">
        <f t="shared" si="6"/>
        <v>2.8358518962796824</v>
      </c>
      <c r="C83" s="19">
        <f t="shared" si="7"/>
        <v>7.9505404909152375</v>
      </c>
      <c r="D83" s="19">
        <f t="shared" si="7"/>
        <v>3.1780043434603202</v>
      </c>
      <c r="E83" s="19">
        <f t="shared" si="7"/>
        <v>-6.1218134187654671</v>
      </c>
      <c r="F83" s="19">
        <f t="shared" si="7"/>
        <v>2.5719375620461618</v>
      </c>
      <c r="G83" s="19">
        <f t="shared" si="7"/>
        <v>7.7489555116220288</v>
      </c>
      <c r="H83" s="19">
        <f t="shared" si="7"/>
        <v>-3.348771331857864</v>
      </c>
      <c r="I83" s="19">
        <f t="shared" si="7"/>
        <v>-5.9160325130720288</v>
      </c>
      <c r="J83" s="19">
        <f t="shared" si="7"/>
        <v>-4.8971096062946957</v>
      </c>
      <c r="K83" s="19">
        <f t="shared" si="7"/>
        <v>-4.024451499518257</v>
      </c>
      <c r="L83" s="19">
        <f t="shared" si="7"/>
        <v>-7.6751454914848338</v>
      </c>
      <c r="M83" s="19">
        <f t="shared" si="7"/>
        <v>-5.3111095350887236</v>
      </c>
      <c r="N83" s="19">
        <f t="shared" si="7"/>
        <v>0</v>
      </c>
      <c r="O83" s="19">
        <f t="shared" si="7"/>
        <v>0</v>
      </c>
      <c r="P83" s="19">
        <f t="shared" si="7"/>
        <v>0</v>
      </c>
      <c r="Q83" s="19">
        <f t="shared" si="7"/>
        <v>0</v>
      </c>
      <c r="R83" s="19">
        <f t="shared" si="7"/>
        <v>0</v>
      </c>
    </row>
    <row r="84" spans="1:18" ht="14.25" customHeight="1" x14ac:dyDescent="0.2">
      <c r="A84" s="1">
        <v>81</v>
      </c>
      <c r="B84" s="19">
        <f t="shared" si="6"/>
        <v>2.8713000449831787</v>
      </c>
      <c r="C84" s="19">
        <f t="shared" si="7"/>
        <v>8.0499222470516774</v>
      </c>
      <c r="D84" s="19">
        <f t="shared" si="7"/>
        <v>3.2177293977535739</v>
      </c>
      <c r="E84" s="19">
        <f t="shared" si="7"/>
        <v>-6.1983360865000359</v>
      </c>
      <c r="F84" s="19">
        <f t="shared" si="7"/>
        <v>2.6040867815717386</v>
      </c>
      <c r="G84" s="19">
        <f t="shared" si="7"/>
        <v>7.8458174555173041</v>
      </c>
      <c r="H84" s="19">
        <f t="shared" si="7"/>
        <v>-3.3906309735060871</v>
      </c>
      <c r="I84" s="19">
        <f t="shared" si="7"/>
        <v>-5.9899829194854295</v>
      </c>
      <c r="J84" s="19">
        <f t="shared" si="7"/>
        <v>-4.958323476373379</v>
      </c>
      <c r="K84" s="19">
        <f t="shared" si="7"/>
        <v>-4.0747571432622349</v>
      </c>
      <c r="L84" s="19">
        <f t="shared" si="7"/>
        <v>-7.7710848101283947</v>
      </c>
      <c r="M84" s="19">
        <f t="shared" si="7"/>
        <v>-5.3774984042773326</v>
      </c>
      <c r="N84" s="19">
        <f t="shared" si="7"/>
        <v>0</v>
      </c>
      <c r="O84" s="19">
        <f t="shared" si="7"/>
        <v>0</v>
      </c>
      <c r="P84" s="19">
        <f t="shared" si="7"/>
        <v>0</v>
      </c>
      <c r="Q84" s="19">
        <f t="shared" si="7"/>
        <v>0</v>
      </c>
      <c r="R84" s="19">
        <f t="shared" si="7"/>
        <v>0</v>
      </c>
    </row>
    <row r="85" spans="1:18" ht="14.25" customHeight="1" x14ac:dyDescent="0.2">
      <c r="A85" s="1">
        <v>82</v>
      </c>
      <c r="B85" s="19">
        <f t="shared" si="6"/>
        <v>2.9067481936866746</v>
      </c>
      <c r="C85" s="19">
        <f t="shared" si="7"/>
        <v>8.149304003188119</v>
      </c>
      <c r="D85" s="19">
        <f t="shared" si="7"/>
        <v>3.257454452046828</v>
      </c>
      <c r="E85" s="19">
        <f t="shared" si="7"/>
        <v>-6.2748587542346037</v>
      </c>
      <c r="F85" s="19">
        <f t="shared" si="7"/>
        <v>2.6362360010973154</v>
      </c>
      <c r="G85" s="19">
        <f t="shared" si="7"/>
        <v>7.9426793994125795</v>
      </c>
      <c r="H85" s="19">
        <f t="shared" si="7"/>
        <v>-3.4324906151543102</v>
      </c>
      <c r="I85" s="19">
        <f t="shared" si="7"/>
        <v>-6.0639333258988302</v>
      </c>
      <c r="J85" s="19">
        <f t="shared" si="7"/>
        <v>-5.0195373464520632</v>
      </c>
      <c r="K85" s="19">
        <f t="shared" si="7"/>
        <v>-4.1250627870062129</v>
      </c>
      <c r="L85" s="19">
        <f t="shared" si="7"/>
        <v>-7.8670241287719547</v>
      </c>
      <c r="M85" s="19">
        <f t="shared" si="7"/>
        <v>-5.4438872734659416</v>
      </c>
      <c r="N85" s="19">
        <f t="shared" si="7"/>
        <v>0</v>
      </c>
      <c r="O85" s="19">
        <f t="shared" si="7"/>
        <v>0</v>
      </c>
      <c r="P85" s="19">
        <f t="shared" si="7"/>
        <v>0</v>
      </c>
      <c r="Q85" s="19">
        <f t="shared" si="7"/>
        <v>0</v>
      </c>
      <c r="R85" s="19">
        <f t="shared" si="7"/>
        <v>0</v>
      </c>
    </row>
    <row r="86" spans="1:18" ht="14.25" customHeight="1" x14ac:dyDescent="0.2">
      <c r="A86" s="1">
        <v>83</v>
      </c>
      <c r="B86" s="19">
        <f t="shared" si="6"/>
        <v>2.9421963423901705</v>
      </c>
      <c r="C86" s="19">
        <f t="shared" si="7"/>
        <v>8.2486857593245588</v>
      </c>
      <c r="D86" s="19">
        <f t="shared" si="7"/>
        <v>3.2971795063400822</v>
      </c>
      <c r="E86" s="19">
        <f t="shared" si="7"/>
        <v>-6.3513814219691724</v>
      </c>
      <c r="F86" s="19">
        <f t="shared" si="7"/>
        <v>2.6683852206228926</v>
      </c>
      <c r="G86" s="19">
        <f t="shared" si="7"/>
        <v>8.0395413433078549</v>
      </c>
      <c r="H86" s="19">
        <f t="shared" si="7"/>
        <v>-3.4743502568025337</v>
      </c>
      <c r="I86" s="19">
        <f t="shared" si="7"/>
        <v>-6.1378837323122299</v>
      </c>
      <c r="J86" s="19">
        <f t="shared" si="7"/>
        <v>-5.0807512165307465</v>
      </c>
      <c r="K86" s="19">
        <f t="shared" si="7"/>
        <v>-4.1753684307501917</v>
      </c>
      <c r="L86" s="19">
        <f t="shared" si="7"/>
        <v>-7.9629634474155147</v>
      </c>
      <c r="M86" s="19">
        <f t="shared" si="7"/>
        <v>-5.5102761426545506</v>
      </c>
      <c r="N86" s="19">
        <f t="shared" si="7"/>
        <v>0</v>
      </c>
      <c r="O86" s="19">
        <f t="shared" si="7"/>
        <v>0</v>
      </c>
      <c r="P86" s="19">
        <f t="shared" si="7"/>
        <v>0</v>
      </c>
      <c r="Q86" s="19">
        <f t="shared" si="7"/>
        <v>0</v>
      </c>
      <c r="R86" s="19">
        <f t="shared" si="7"/>
        <v>0</v>
      </c>
    </row>
    <row r="87" spans="1:18" ht="14.25" customHeight="1" x14ac:dyDescent="0.2">
      <c r="A87" s="1">
        <v>84</v>
      </c>
      <c r="B87" s="19">
        <f t="shared" si="6"/>
        <v>2.9776444910936668</v>
      </c>
      <c r="C87" s="19">
        <f t="shared" si="7"/>
        <v>8.3480675154610005</v>
      </c>
      <c r="D87" s="19">
        <f t="shared" si="7"/>
        <v>3.3369045606333358</v>
      </c>
      <c r="E87" s="19">
        <f t="shared" si="7"/>
        <v>-6.4279040897037403</v>
      </c>
      <c r="F87" s="19">
        <f t="shared" si="7"/>
        <v>2.7005344401484694</v>
      </c>
      <c r="G87" s="19">
        <f t="shared" si="7"/>
        <v>8.1364032872031302</v>
      </c>
      <c r="H87" s="19">
        <f t="shared" si="7"/>
        <v>-3.5162098984507568</v>
      </c>
      <c r="I87" s="19">
        <f t="shared" si="7"/>
        <v>-6.2118341387256306</v>
      </c>
      <c r="J87" s="19">
        <f t="shared" si="7"/>
        <v>-5.1419650866094306</v>
      </c>
      <c r="K87" s="19">
        <f t="shared" si="7"/>
        <v>-4.2256740744941697</v>
      </c>
      <c r="L87" s="19">
        <f t="shared" si="7"/>
        <v>-8.0589027660590755</v>
      </c>
      <c r="M87" s="19">
        <f t="shared" si="7"/>
        <v>-5.5766650118431604</v>
      </c>
      <c r="N87" s="19">
        <f t="shared" si="7"/>
        <v>0</v>
      </c>
      <c r="O87" s="19">
        <f t="shared" si="7"/>
        <v>0</v>
      </c>
      <c r="P87" s="19">
        <f t="shared" si="7"/>
        <v>0</v>
      </c>
      <c r="Q87" s="19">
        <f t="shared" si="7"/>
        <v>0</v>
      </c>
      <c r="R87" s="19">
        <f t="shared" si="7"/>
        <v>0</v>
      </c>
    </row>
    <row r="88" spans="1:18" ht="14.25" customHeight="1" x14ac:dyDescent="0.2">
      <c r="A88" s="1">
        <v>85</v>
      </c>
      <c r="B88" s="19">
        <f t="shared" si="6"/>
        <v>3.0130926397971627</v>
      </c>
      <c r="C88" s="19">
        <f t="shared" si="7"/>
        <v>8.4474492715974403</v>
      </c>
      <c r="D88" s="19">
        <f t="shared" si="7"/>
        <v>3.37662961492659</v>
      </c>
      <c r="E88" s="19">
        <f t="shared" si="7"/>
        <v>-6.504426757438309</v>
      </c>
      <c r="F88" s="19">
        <f t="shared" si="7"/>
        <v>2.7326836596740467</v>
      </c>
      <c r="G88" s="19">
        <f t="shared" si="7"/>
        <v>8.2332652310984056</v>
      </c>
      <c r="H88" s="19">
        <f t="shared" si="7"/>
        <v>-3.5580695400989804</v>
      </c>
      <c r="I88" s="19">
        <f t="shared" si="7"/>
        <v>-6.2857845451390313</v>
      </c>
      <c r="J88" s="19">
        <f t="shared" si="7"/>
        <v>-5.2031789566881139</v>
      </c>
      <c r="K88" s="19">
        <f t="shared" si="7"/>
        <v>-4.2759797182381476</v>
      </c>
      <c r="L88" s="19">
        <f t="shared" si="7"/>
        <v>-8.1548420847026364</v>
      </c>
      <c r="M88" s="19">
        <f t="shared" si="7"/>
        <v>-5.6430538810317694</v>
      </c>
      <c r="N88" s="19">
        <f t="shared" si="7"/>
        <v>0</v>
      </c>
      <c r="O88" s="19">
        <f t="shared" si="7"/>
        <v>0</v>
      </c>
      <c r="P88" s="19">
        <f t="shared" si="7"/>
        <v>0</v>
      </c>
      <c r="Q88" s="19">
        <f t="shared" si="7"/>
        <v>0</v>
      </c>
      <c r="R88" s="19">
        <f t="shared" si="7"/>
        <v>0</v>
      </c>
    </row>
    <row r="89" spans="1:18" ht="14.25" customHeight="1" x14ac:dyDescent="0.2">
      <c r="A89" s="1">
        <v>86</v>
      </c>
      <c r="B89" s="19">
        <f t="shared" si="6"/>
        <v>3.0485407885006586</v>
      </c>
      <c r="C89" s="19">
        <f t="shared" si="7"/>
        <v>8.5468310277338801</v>
      </c>
      <c r="D89" s="19">
        <f t="shared" si="7"/>
        <v>3.4163546692198441</v>
      </c>
      <c r="E89" s="19">
        <f t="shared" si="7"/>
        <v>-6.5809494251728768</v>
      </c>
      <c r="F89" s="19">
        <f t="shared" si="7"/>
        <v>2.7648328791996235</v>
      </c>
      <c r="G89" s="19">
        <f t="shared" si="7"/>
        <v>8.3301271749936809</v>
      </c>
      <c r="H89" s="19">
        <f t="shared" si="7"/>
        <v>-3.5999291817472034</v>
      </c>
      <c r="I89" s="19">
        <f t="shared" si="7"/>
        <v>-6.3597349515524311</v>
      </c>
      <c r="J89" s="19">
        <f t="shared" si="7"/>
        <v>-5.2643928267667981</v>
      </c>
      <c r="K89" s="19">
        <f t="shared" si="7"/>
        <v>-4.3262853619821264</v>
      </c>
      <c r="L89" s="19">
        <f t="shared" si="7"/>
        <v>-8.2507814033461955</v>
      </c>
      <c r="M89" s="19">
        <f t="shared" si="7"/>
        <v>-5.7094427502203784</v>
      </c>
      <c r="N89" s="19">
        <f t="shared" si="7"/>
        <v>0</v>
      </c>
      <c r="O89" s="19">
        <f t="shared" si="7"/>
        <v>0</v>
      </c>
      <c r="P89" s="19">
        <f t="shared" si="7"/>
        <v>0</v>
      </c>
      <c r="Q89" s="19">
        <f t="shared" si="7"/>
        <v>0</v>
      </c>
      <c r="R89" s="19">
        <f t="shared" si="7"/>
        <v>0</v>
      </c>
    </row>
    <row r="90" spans="1:18" ht="14.25" customHeight="1" x14ac:dyDescent="0.2">
      <c r="A90" s="1">
        <v>87</v>
      </c>
      <c r="B90" s="19">
        <f t="shared" si="6"/>
        <v>3.0839889372041549</v>
      </c>
      <c r="C90" s="19">
        <f t="shared" si="7"/>
        <v>8.6462127838703218</v>
      </c>
      <c r="D90" s="19">
        <f t="shared" si="7"/>
        <v>3.4560797235130982</v>
      </c>
      <c r="E90" s="19">
        <f t="shared" si="7"/>
        <v>-6.6574720929074456</v>
      </c>
      <c r="F90" s="19">
        <f t="shared" si="7"/>
        <v>2.7969820987252008</v>
      </c>
      <c r="G90" s="19">
        <f t="shared" si="7"/>
        <v>8.4269891188889563</v>
      </c>
      <c r="H90" s="19">
        <f t="shared" si="7"/>
        <v>-3.641788823395427</v>
      </c>
      <c r="I90" s="19">
        <f t="shared" si="7"/>
        <v>-6.4336853579658317</v>
      </c>
      <c r="J90" s="19">
        <f t="shared" si="7"/>
        <v>-5.3256066968454814</v>
      </c>
      <c r="K90" s="19">
        <f t="shared" si="7"/>
        <v>-4.3765910057261044</v>
      </c>
      <c r="L90" s="19">
        <f t="shared" si="7"/>
        <v>-8.3467207219897563</v>
      </c>
      <c r="M90" s="19">
        <f t="shared" si="7"/>
        <v>-5.7758316194089874</v>
      </c>
      <c r="N90" s="19">
        <f t="shared" si="7"/>
        <v>0</v>
      </c>
      <c r="O90" s="19">
        <f t="shared" si="7"/>
        <v>0</v>
      </c>
      <c r="P90" s="19">
        <f t="shared" si="7"/>
        <v>0</v>
      </c>
      <c r="Q90" s="19">
        <f t="shared" si="7"/>
        <v>0</v>
      </c>
      <c r="R90" s="19">
        <f t="shared" si="7"/>
        <v>0</v>
      </c>
    </row>
    <row r="91" spans="1:18" ht="14.25" customHeight="1" x14ac:dyDescent="0.2">
      <c r="A91" s="1">
        <v>88</v>
      </c>
      <c r="B91" s="19">
        <f t="shared" si="6"/>
        <v>3.1194370859076508</v>
      </c>
      <c r="C91" s="19">
        <f t="shared" si="7"/>
        <v>8.7455945400067616</v>
      </c>
      <c r="D91" s="19">
        <f t="shared" si="7"/>
        <v>3.4958047778063519</v>
      </c>
      <c r="E91" s="19">
        <f t="shared" si="7"/>
        <v>-6.7339947606420143</v>
      </c>
      <c r="F91" s="19">
        <f t="shared" si="7"/>
        <v>2.8291313182507776</v>
      </c>
      <c r="G91" s="19">
        <f t="shared" si="7"/>
        <v>8.5238510627842317</v>
      </c>
      <c r="H91" s="19">
        <f t="shared" si="7"/>
        <v>-3.6836484650436501</v>
      </c>
      <c r="I91" s="19">
        <f t="shared" si="7"/>
        <v>-6.5076357643792324</v>
      </c>
      <c r="J91" s="19">
        <f t="shared" si="7"/>
        <v>-5.3868205669241656</v>
      </c>
      <c r="K91" s="19">
        <f t="shared" si="7"/>
        <v>-4.4268966494700823</v>
      </c>
      <c r="L91" s="19">
        <f t="shared" si="7"/>
        <v>-8.4426600406333172</v>
      </c>
      <c r="M91" s="19">
        <f t="shared" si="7"/>
        <v>-5.8422204885975964</v>
      </c>
      <c r="N91" s="19">
        <f t="shared" ref="C91:R103" si="8">N$4*$A91</f>
        <v>0</v>
      </c>
      <c r="O91" s="19">
        <f t="shared" si="8"/>
        <v>0</v>
      </c>
      <c r="P91" s="19">
        <f t="shared" si="8"/>
        <v>0</v>
      </c>
      <c r="Q91" s="19">
        <f t="shared" si="8"/>
        <v>0</v>
      </c>
      <c r="R91" s="19">
        <f t="shared" si="8"/>
        <v>0</v>
      </c>
    </row>
    <row r="92" spans="1:18" ht="14.25" customHeight="1" x14ac:dyDescent="0.2">
      <c r="A92" s="1">
        <v>89</v>
      </c>
      <c r="B92" s="19">
        <f t="shared" si="6"/>
        <v>3.1548852346111467</v>
      </c>
      <c r="C92" s="19">
        <f t="shared" si="8"/>
        <v>8.8449762961432015</v>
      </c>
      <c r="D92" s="19">
        <f t="shared" si="8"/>
        <v>3.535529832099606</v>
      </c>
      <c r="E92" s="19">
        <f t="shared" si="8"/>
        <v>-6.8105174283765821</v>
      </c>
      <c r="F92" s="19">
        <f t="shared" si="8"/>
        <v>2.8612805377763548</v>
      </c>
      <c r="G92" s="19">
        <f t="shared" si="8"/>
        <v>8.620713006679507</v>
      </c>
      <c r="H92" s="19">
        <f t="shared" si="8"/>
        <v>-3.7255081066918736</v>
      </c>
      <c r="I92" s="19">
        <f t="shared" si="8"/>
        <v>-6.5815861707926322</v>
      </c>
      <c r="J92" s="19">
        <f t="shared" si="8"/>
        <v>-5.4480344370028488</v>
      </c>
      <c r="K92" s="19">
        <f t="shared" si="8"/>
        <v>-4.4772022932140603</v>
      </c>
      <c r="L92" s="19">
        <f t="shared" si="8"/>
        <v>-8.5385993592768781</v>
      </c>
      <c r="M92" s="19">
        <f t="shared" si="8"/>
        <v>-5.9086093577862053</v>
      </c>
      <c r="N92" s="19">
        <f t="shared" si="8"/>
        <v>0</v>
      </c>
      <c r="O92" s="19">
        <f t="shared" si="8"/>
        <v>0</v>
      </c>
      <c r="P92" s="19">
        <f t="shared" si="8"/>
        <v>0</v>
      </c>
      <c r="Q92" s="19">
        <f t="shared" si="8"/>
        <v>0</v>
      </c>
      <c r="R92" s="19">
        <f t="shared" si="8"/>
        <v>0</v>
      </c>
    </row>
    <row r="93" spans="1:18" ht="14.25" customHeight="1" x14ac:dyDescent="0.2">
      <c r="A93" s="1">
        <v>90</v>
      </c>
      <c r="B93" s="19">
        <f t="shared" si="6"/>
        <v>3.190333383314643</v>
      </c>
      <c r="C93" s="19">
        <f t="shared" si="8"/>
        <v>8.9443580522796431</v>
      </c>
      <c r="D93" s="19">
        <f t="shared" si="8"/>
        <v>3.5752548863928602</v>
      </c>
      <c r="E93" s="19">
        <f t="shared" si="8"/>
        <v>-6.8870400961111509</v>
      </c>
      <c r="F93" s="19">
        <f t="shared" si="8"/>
        <v>2.8934297573019316</v>
      </c>
      <c r="G93" s="19">
        <f t="shared" si="8"/>
        <v>8.7175749505747824</v>
      </c>
      <c r="H93" s="19">
        <f t="shared" si="8"/>
        <v>-3.7673677483400967</v>
      </c>
      <c r="I93" s="19">
        <f t="shared" si="8"/>
        <v>-6.6555365772060329</v>
      </c>
      <c r="J93" s="19">
        <f t="shared" si="8"/>
        <v>-5.5092483070815321</v>
      </c>
      <c r="K93" s="19">
        <f t="shared" si="8"/>
        <v>-4.5275079369580391</v>
      </c>
      <c r="L93" s="19">
        <f t="shared" si="8"/>
        <v>-8.6345386779204389</v>
      </c>
      <c r="M93" s="19">
        <f t="shared" si="8"/>
        <v>-5.9749982269748143</v>
      </c>
      <c r="N93" s="19">
        <f t="shared" si="8"/>
        <v>0</v>
      </c>
      <c r="O93" s="19">
        <f t="shared" si="8"/>
        <v>0</v>
      </c>
      <c r="P93" s="19">
        <f t="shared" si="8"/>
        <v>0</v>
      </c>
      <c r="Q93" s="19">
        <f t="shared" si="8"/>
        <v>0</v>
      </c>
      <c r="R93" s="19">
        <f t="shared" si="8"/>
        <v>0</v>
      </c>
    </row>
    <row r="94" spans="1:18" ht="14.25" customHeight="1" x14ac:dyDescent="0.2">
      <c r="A94" s="1">
        <v>91</v>
      </c>
      <c r="B94" s="19">
        <f t="shared" si="6"/>
        <v>3.2257815320181389</v>
      </c>
      <c r="C94" s="19">
        <f t="shared" si="8"/>
        <v>9.0437398084160829</v>
      </c>
      <c r="D94" s="19">
        <f t="shared" si="8"/>
        <v>3.6149799406861138</v>
      </c>
      <c r="E94" s="19">
        <f t="shared" si="8"/>
        <v>-6.9635627638457187</v>
      </c>
      <c r="F94" s="19">
        <f t="shared" si="8"/>
        <v>2.9255789768275089</v>
      </c>
      <c r="G94" s="19">
        <f t="shared" si="8"/>
        <v>8.8144368944700577</v>
      </c>
      <c r="H94" s="19">
        <f t="shared" si="8"/>
        <v>-3.8092273899883202</v>
      </c>
      <c r="I94" s="19">
        <f t="shared" si="8"/>
        <v>-6.7294869836194335</v>
      </c>
      <c r="J94" s="19">
        <f t="shared" si="8"/>
        <v>-5.5704621771602163</v>
      </c>
      <c r="K94" s="19">
        <f t="shared" si="8"/>
        <v>-4.577813580702017</v>
      </c>
      <c r="L94" s="19">
        <f t="shared" si="8"/>
        <v>-8.730477996563998</v>
      </c>
      <c r="M94" s="19">
        <f t="shared" si="8"/>
        <v>-6.0413870961634233</v>
      </c>
      <c r="N94" s="19">
        <f t="shared" si="8"/>
        <v>0</v>
      </c>
      <c r="O94" s="19">
        <f t="shared" si="8"/>
        <v>0</v>
      </c>
      <c r="P94" s="19">
        <f t="shared" si="8"/>
        <v>0</v>
      </c>
      <c r="Q94" s="19">
        <f t="shared" si="8"/>
        <v>0</v>
      </c>
      <c r="R94" s="19">
        <f t="shared" si="8"/>
        <v>0</v>
      </c>
    </row>
    <row r="95" spans="1:18" ht="14.25" customHeight="1" x14ac:dyDescent="0.2">
      <c r="A95" s="1">
        <v>92</v>
      </c>
      <c r="B95" s="19">
        <f t="shared" si="6"/>
        <v>3.2612296807216348</v>
      </c>
      <c r="C95" s="19">
        <f t="shared" si="8"/>
        <v>9.1431215645525228</v>
      </c>
      <c r="D95" s="19">
        <f t="shared" si="8"/>
        <v>3.654704994979368</v>
      </c>
      <c r="E95" s="19">
        <f t="shared" si="8"/>
        <v>-7.0400854315802874</v>
      </c>
      <c r="F95" s="19">
        <f t="shared" si="8"/>
        <v>2.9577281963530857</v>
      </c>
      <c r="G95" s="19">
        <f t="shared" si="8"/>
        <v>8.9112988383653331</v>
      </c>
      <c r="H95" s="19">
        <f t="shared" si="8"/>
        <v>-3.8510870316365433</v>
      </c>
      <c r="I95" s="19">
        <f t="shared" si="8"/>
        <v>-6.8034373900328333</v>
      </c>
      <c r="J95" s="19">
        <f t="shared" si="8"/>
        <v>-5.6316760472388996</v>
      </c>
      <c r="K95" s="19">
        <f t="shared" si="8"/>
        <v>-4.628119224445995</v>
      </c>
      <c r="L95" s="19">
        <f t="shared" si="8"/>
        <v>-8.8264173152075589</v>
      </c>
      <c r="M95" s="19">
        <f t="shared" si="8"/>
        <v>-6.1077759653520323</v>
      </c>
      <c r="N95" s="19">
        <f t="shared" si="8"/>
        <v>0</v>
      </c>
      <c r="O95" s="19">
        <f t="shared" si="8"/>
        <v>0</v>
      </c>
      <c r="P95" s="19">
        <f t="shared" si="8"/>
        <v>0</v>
      </c>
      <c r="Q95" s="19">
        <f t="shared" si="8"/>
        <v>0</v>
      </c>
      <c r="R95" s="19">
        <f t="shared" si="8"/>
        <v>0</v>
      </c>
    </row>
    <row r="96" spans="1:18" ht="14.25" customHeight="1" x14ac:dyDescent="0.2">
      <c r="A96" s="1">
        <v>93</v>
      </c>
      <c r="B96" s="19">
        <f t="shared" si="6"/>
        <v>3.2966778294251311</v>
      </c>
      <c r="C96" s="19">
        <f t="shared" si="8"/>
        <v>9.2425033206889644</v>
      </c>
      <c r="D96" s="19">
        <f t="shared" si="8"/>
        <v>3.6944300492726221</v>
      </c>
      <c r="E96" s="19">
        <f t="shared" si="8"/>
        <v>-7.1166080993148553</v>
      </c>
      <c r="F96" s="19">
        <f t="shared" si="8"/>
        <v>2.989877415878663</v>
      </c>
      <c r="G96" s="19">
        <f t="shared" si="8"/>
        <v>9.0081607822606085</v>
      </c>
      <c r="H96" s="19">
        <f t="shared" si="8"/>
        <v>-3.8929466732847668</v>
      </c>
      <c r="I96" s="19">
        <f t="shared" si="8"/>
        <v>-6.877387796446234</v>
      </c>
      <c r="J96" s="19">
        <f t="shared" si="8"/>
        <v>-5.6928899173175838</v>
      </c>
      <c r="K96" s="19">
        <f t="shared" si="8"/>
        <v>-4.6784248681899738</v>
      </c>
      <c r="L96" s="19">
        <f t="shared" si="8"/>
        <v>-8.9223566338511198</v>
      </c>
      <c r="M96" s="19">
        <f t="shared" si="8"/>
        <v>-6.1741648345406412</v>
      </c>
      <c r="N96" s="19">
        <f t="shared" si="8"/>
        <v>0</v>
      </c>
      <c r="O96" s="19">
        <f t="shared" si="8"/>
        <v>0</v>
      </c>
      <c r="P96" s="19">
        <f t="shared" si="8"/>
        <v>0</v>
      </c>
      <c r="Q96" s="19">
        <f t="shared" si="8"/>
        <v>0</v>
      </c>
      <c r="R96" s="19">
        <f t="shared" si="8"/>
        <v>0</v>
      </c>
    </row>
    <row r="97" spans="1:18" ht="14.25" customHeight="1" x14ac:dyDescent="0.2">
      <c r="A97" s="1">
        <v>94</v>
      </c>
      <c r="B97" s="19">
        <f t="shared" si="6"/>
        <v>3.332125978128627</v>
      </c>
      <c r="C97" s="19">
        <f t="shared" si="8"/>
        <v>9.3418850768254043</v>
      </c>
      <c r="D97" s="19">
        <f t="shared" si="8"/>
        <v>3.7341551035658762</v>
      </c>
      <c r="E97" s="19">
        <f t="shared" si="8"/>
        <v>-7.193130767049424</v>
      </c>
      <c r="F97" s="19">
        <f t="shared" si="8"/>
        <v>3.0220266354042398</v>
      </c>
      <c r="G97" s="19">
        <f t="shared" si="8"/>
        <v>9.1050227261558838</v>
      </c>
      <c r="H97" s="19">
        <f t="shared" si="8"/>
        <v>-3.9348063149329899</v>
      </c>
      <c r="I97" s="19">
        <f t="shared" si="8"/>
        <v>-6.9513382028596347</v>
      </c>
      <c r="J97" s="19">
        <f t="shared" si="8"/>
        <v>-5.754103787396267</v>
      </c>
      <c r="K97" s="19">
        <f t="shared" si="8"/>
        <v>-4.7287305119339518</v>
      </c>
      <c r="L97" s="19">
        <f t="shared" si="8"/>
        <v>-9.0182959524946789</v>
      </c>
      <c r="M97" s="19">
        <f t="shared" si="8"/>
        <v>-6.2405537037292502</v>
      </c>
      <c r="N97" s="19">
        <f t="shared" si="8"/>
        <v>0</v>
      </c>
      <c r="O97" s="19">
        <f t="shared" si="8"/>
        <v>0</v>
      </c>
      <c r="P97" s="19">
        <f t="shared" si="8"/>
        <v>0</v>
      </c>
      <c r="Q97" s="19">
        <f t="shared" si="8"/>
        <v>0</v>
      </c>
      <c r="R97" s="19">
        <f t="shared" si="8"/>
        <v>0</v>
      </c>
    </row>
    <row r="98" spans="1:18" ht="14.25" customHeight="1" x14ac:dyDescent="0.2">
      <c r="A98" s="1">
        <v>95</v>
      </c>
      <c r="B98" s="19">
        <f t="shared" si="6"/>
        <v>3.3675741268321229</v>
      </c>
      <c r="C98" s="19">
        <f t="shared" si="8"/>
        <v>9.4412668329618441</v>
      </c>
      <c r="D98" s="19">
        <f t="shared" si="8"/>
        <v>3.7738801578591299</v>
      </c>
      <c r="E98" s="19">
        <f t="shared" si="8"/>
        <v>-7.2696534347839918</v>
      </c>
      <c r="F98" s="19">
        <f t="shared" si="8"/>
        <v>3.054175854929817</v>
      </c>
      <c r="G98" s="19">
        <f t="shared" si="8"/>
        <v>9.2018846700511592</v>
      </c>
      <c r="H98" s="19">
        <f t="shared" si="8"/>
        <v>-3.9766659565812135</v>
      </c>
      <c r="I98" s="19">
        <f t="shared" si="8"/>
        <v>-7.0252886092730344</v>
      </c>
      <c r="J98" s="19">
        <f t="shared" si="8"/>
        <v>-5.8153176574749512</v>
      </c>
      <c r="K98" s="19">
        <f t="shared" si="8"/>
        <v>-4.7790361556779297</v>
      </c>
      <c r="L98" s="19">
        <f t="shared" si="8"/>
        <v>-9.1142352711382397</v>
      </c>
      <c r="M98" s="19">
        <f t="shared" si="8"/>
        <v>-6.3069425729178592</v>
      </c>
      <c r="N98" s="19">
        <f t="shared" si="8"/>
        <v>0</v>
      </c>
      <c r="O98" s="19">
        <f t="shared" si="8"/>
        <v>0</v>
      </c>
      <c r="P98" s="19">
        <f t="shared" si="8"/>
        <v>0</v>
      </c>
      <c r="Q98" s="19">
        <f t="shared" si="8"/>
        <v>0</v>
      </c>
      <c r="R98" s="19">
        <f t="shared" si="8"/>
        <v>0</v>
      </c>
    </row>
    <row r="99" spans="1:18" ht="14.25" customHeight="1" x14ac:dyDescent="0.2">
      <c r="A99" s="1">
        <v>96</v>
      </c>
      <c r="B99" s="19">
        <f t="shared" si="6"/>
        <v>3.4030222755356192</v>
      </c>
      <c r="C99" s="19">
        <f t="shared" si="8"/>
        <v>9.5406485890982857</v>
      </c>
      <c r="D99" s="19">
        <f t="shared" si="8"/>
        <v>3.813605212152384</v>
      </c>
      <c r="E99" s="19">
        <f t="shared" si="8"/>
        <v>-7.3461761025185606</v>
      </c>
      <c r="F99" s="19">
        <f t="shared" si="8"/>
        <v>3.0863250744553938</v>
      </c>
      <c r="G99" s="19">
        <f t="shared" si="8"/>
        <v>9.2987466139464345</v>
      </c>
      <c r="H99" s="19">
        <f t="shared" si="8"/>
        <v>-4.0185255982294361</v>
      </c>
      <c r="I99" s="19">
        <f t="shared" si="8"/>
        <v>-7.0992390156864351</v>
      </c>
      <c r="J99" s="19">
        <f t="shared" si="8"/>
        <v>-5.8765315275536345</v>
      </c>
      <c r="K99" s="19">
        <f t="shared" si="8"/>
        <v>-4.8293417994219077</v>
      </c>
      <c r="L99" s="19">
        <f t="shared" si="8"/>
        <v>-9.2101745897818006</v>
      </c>
      <c r="M99" s="19">
        <f t="shared" si="8"/>
        <v>-6.3733314421064691</v>
      </c>
      <c r="N99" s="19">
        <f t="shared" si="8"/>
        <v>0</v>
      </c>
      <c r="O99" s="19">
        <f t="shared" si="8"/>
        <v>0</v>
      </c>
      <c r="P99" s="19">
        <f t="shared" si="8"/>
        <v>0</v>
      </c>
      <c r="Q99" s="19">
        <f t="shared" si="8"/>
        <v>0</v>
      </c>
      <c r="R99" s="19">
        <f t="shared" si="8"/>
        <v>0</v>
      </c>
    </row>
    <row r="100" spans="1:18" ht="14.25" customHeight="1" x14ac:dyDescent="0.2">
      <c r="A100" s="1">
        <v>97</v>
      </c>
      <c r="B100" s="19">
        <f t="shared" si="6"/>
        <v>3.4384704242391151</v>
      </c>
      <c r="C100" s="19">
        <f t="shared" si="8"/>
        <v>9.6400303452347256</v>
      </c>
      <c r="D100" s="19">
        <f t="shared" si="8"/>
        <v>3.8533302664456381</v>
      </c>
      <c r="E100" s="19">
        <f t="shared" si="8"/>
        <v>-7.4226987702531293</v>
      </c>
      <c r="F100" s="19">
        <f t="shared" si="8"/>
        <v>3.1184742939809706</v>
      </c>
      <c r="G100" s="19">
        <f t="shared" si="8"/>
        <v>9.3956085578417099</v>
      </c>
      <c r="H100" s="19">
        <f t="shared" si="8"/>
        <v>-4.0603852398776601</v>
      </c>
      <c r="I100" s="19">
        <f t="shared" si="8"/>
        <v>-7.1731894220998358</v>
      </c>
      <c r="J100" s="19">
        <f t="shared" si="8"/>
        <v>-5.9377453976323187</v>
      </c>
      <c r="K100" s="19">
        <f t="shared" si="8"/>
        <v>-4.8796474431658865</v>
      </c>
      <c r="L100" s="19">
        <f t="shared" si="8"/>
        <v>-9.3061139084253615</v>
      </c>
      <c r="M100" s="19">
        <f t="shared" si="8"/>
        <v>-6.439720311295078</v>
      </c>
      <c r="N100" s="19">
        <f t="shared" si="8"/>
        <v>0</v>
      </c>
      <c r="O100" s="19">
        <f t="shared" si="8"/>
        <v>0</v>
      </c>
      <c r="P100" s="19">
        <f t="shared" si="8"/>
        <v>0</v>
      </c>
      <c r="Q100" s="19">
        <f t="shared" si="8"/>
        <v>0</v>
      </c>
      <c r="R100" s="19">
        <f t="shared" si="8"/>
        <v>0</v>
      </c>
    </row>
    <row r="101" spans="1:18" ht="14.25" customHeight="1" x14ac:dyDescent="0.2">
      <c r="A101" s="1">
        <v>98</v>
      </c>
      <c r="B101" s="19">
        <f t="shared" si="6"/>
        <v>3.473918572942611</v>
      </c>
      <c r="C101" s="19">
        <f t="shared" si="8"/>
        <v>9.7394121013711654</v>
      </c>
      <c r="D101" s="19">
        <f t="shared" si="8"/>
        <v>3.8930553207388918</v>
      </c>
      <c r="E101" s="19">
        <f t="shared" si="8"/>
        <v>-7.4992214379876971</v>
      </c>
      <c r="F101" s="19">
        <f t="shared" si="8"/>
        <v>3.1506235135065479</v>
      </c>
      <c r="G101" s="19">
        <f t="shared" si="8"/>
        <v>9.4924705017369853</v>
      </c>
      <c r="H101" s="19">
        <f t="shared" si="8"/>
        <v>-4.1022448815258832</v>
      </c>
      <c r="I101" s="19">
        <f t="shared" si="8"/>
        <v>-7.2471398285132356</v>
      </c>
      <c r="J101" s="19">
        <f t="shared" si="8"/>
        <v>-5.998959267711002</v>
      </c>
      <c r="K101" s="19">
        <f t="shared" si="8"/>
        <v>-4.9299530869098644</v>
      </c>
      <c r="L101" s="19">
        <f t="shared" si="8"/>
        <v>-9.4020532270689223</v>
      </c>
      <c r="M101" s="19">
        <f t="shared" si="8"/>
        <v>-6.506109180483687</v>
      </c>
      <c r="N101" s="19">
        <f t="shared" si="8"/>
        <v>0</v>
      </c>
      <c r="O101" s="19">
        <f t="shared" si="8"/>
        <v>0</v>
      </c>
      <c r="P101" s="19">
        <f t="shared" si="8"/>
        <v>0</v>
      </c>
      <c r="Q101" s="19">
        <f t="shared" si="8"/>
        <v>0</v>
      </c>
      <c r="R101" s="19">
        <f t="shared" si="8"/>
        <v>0</v>
      </c>
    </row>
    <row r="102" spans="1:18" ht="14.25" customHeight="1" x14ac:dyDescent="0.2">
      <c r="A102" s="1">
        <v>99</v>
      </c>
      <c r="B102" s="19">
        <f t="shared" si="6"/>
        <v>3.5093667216461069</v>
      </c>
      <c r="C102" s="19">
        <f t="shared" si="8"/>
        <v>9.838793857507607</v>
      </c>
      <c r="D102" s="19">
        <f t="shared" si="8"/>
        <v>3.9327803750321459</v>
      </c>
      <c r="E102" s="19">
        <f t="shared" si="8"/>
        <v>-7.5757441057222659</v>
      </c>
      <c r="F102" s="19">
        <f t="shared" si="8"/>
        <v>3.1827727330321247</v>
      </c>
      <c r="G102" s="19">
        <f t="shared" si="8"/>
        <v>9.5893324456322606</v>
      </c>
      <c r="H102" s="19">
        <f t="shared" si="8"/>
        <v>-4.1441045231741063</v>
      </c>
      <c r="I102" s="19">
        <f t="shared" si="8"/>
        <v>-7.3210902349266362</v>
      </c>
      <c r="J102" s="19">
        <f t="shared" si="8"/>
        <v>-6.0601731377896861</v>
      </c>
      <c r="K102" s="19">
        <f t="shared" si="8"/>
        <v>-4.9802587306538424</v>
      </c>
      <c r="L102" s="19">
        <f t="shared" si="8"/>
        <v>-9.4979925457124814</v>
      </c>
      <c r="M102" s="19">
        <f t="shared" si="8"/>
        <v>-6.572498049672296</v>
      </c>
      <c r="N102" s="19">
        <f t="shared" si="8"/>
        <v>0</v>
      </c>
      <c r="O102" s="19">
        <f t="shared" si="8"/>
        <v>0</v>
      </c>
      <c r="P102" s="19">
        <f t="shared" si="8"/>
        <v>0</v>
      </c>
      <c r="Q102" s="19">
        <f t="shared" si="8"/>
        <v>0</v>
      </c>
      <c r="R102" s="19">
        <f t="shared" si="8"/>
        <v>0</v>
      </c>
    </row>
    <row r="103" spans="1:18" ht="14.25" customHeight="1" x14ac:dyDescent="0.2">
      <c r="A103" s="1">
        <v>100</v>
      </c>
      <c r="B103" s="19">
        <f t="shared" si="6"/>
        <v>3.5448148703496032</v>
      </c>
      <c r="C103" s="19">
        <f t="shared" si="8"/>
        <v>9.9381756136440469</v>
      </c>
      <c r="D103" s="19">
        <f t="shared" si="8"/>
        <v>3.9725054293254001</v>
      </c>
      <c r="E103" s="19">
        <f t="shared" si="8"/>
        <v>-7.6522667734568337</v>
      </c>
      <c r="F103" s="19">
        <f t="shared" si="8"/>
        <v>3.214921952557702</v>
      </c>
      <c r="G103" s="19">
        <f t="shared" si="8"/>
        <v>9.686194389527536</v>
      </c>
      <c r="H103" s="19">
        <f t="shared" si="8"/>
        <v>-4.1859641648223294</v>
      </c>
      <c r="I103" s="19">
        <f t="shared" si="8"/>
        <v>-7.3950406413400369</v>
      </c>
      <c r="J103" s="19">
        <f t="shared" si="8"/>
        <v>-6.1213870078683694</v>
      </c>
      <c r="K103" s="19">
        <f t="shared" si="8"/>
        <v>-5.0305643743978212</v>
      </c>
      <c r="L103" s="19">
        <f t="shared" si="8"/>
        <v>-9.5939318643560423</v>
      </c>
      <c r="M103" s="19">
        <f t="shared" si="8"/>
        <v>-6.638886918860905</v>
      </c>
      <c r="N103" s="19">
        <f t="shared" si="8"/>
        <v>0</v>
      </c>
      <c r="O103" s="19">
        <f t="shared" si="8"/>
        <v>0</v>
      </c>
      <c r="P103" s="19">
        <f t="shared" si="8"/>
        <v>0</v>
      </c>
      <c r="Q103" s="19">
        <f t="shared" si="8"/>
        <v>0</v>
      </c>
      <c r="R103" s="19">
        <f t="shared" si="8"/>
        <v>0</v>
      </c>
    </row>
    <row r="104" spans="1:18" ht="14.25" customHeight="1" x14ac:dyDescent="0.2"/>
    <row r="105" spans="1:18" ht="14.25" customHeight="1" x14ac:dyDescent="0.2"/>
    <row r="106" spans="1:18" ht="14.25" customHeight="1" x14ac:dyDescent="0.2"/>
    <row r="107" spans="1:18" ht="14.25" customHeight="1" x14ac:dyDescent="0.2"/>
    <row r="108" spans="1:18" ht="14.25" customHeight="1" x14ac:dyDescent="0.2"/>
    <row r="109" spans="1:18" ht="14.25" customHeight="1" x14ac:dyDescent="0.2"/>
    <row r="110" spans="1:18" ht="14.25" customHeight="1" x14ac:dyDescent="0.2"/>
    <row r="111" spans="1:18" ht="14.25" customHeight="1" x14ac:dyDescent="0.2"/>
    <row r="112" spans="1:18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0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N1" sqref="N1:N1048576"/>
    </sheetView>
  </sheetViews>
  <sheetFormatPr baseColWidth="10" defaultColWidth="17.33203125" defaultRowHeight="15" customHeight="1" x14ac:dyDescent="0.2"/>
  <cols>
    <col min="1" max="1" width="18.1640625" style="23" bestFit="1" customWidth="1"/>
    <col min="2" max="3" width="17" style="23" bestFit="1" customWidth="1"/>
    <col min="4" max="4" width="27.6640625" style="23" bestFit="1" customWidth="1"/>
    <col min="5" max="5" width="23.5" style="23" bestFit="1" customWidth="1"/>
    <col min="6" max="7" width="17" style="23" bestFit="1" customWidth="1"/>
    <col min="8" max="8" width="25.5" style="23" bestFit="1" customWidth="1"/>
    <col min="9" max="9" width="22.6640625" style="23" bestFit="1" customWidth="1"/>
    <col min="10" max="10" width="28.33203125" style="23" bestFit="1" customWidth="1"/>
    <col min="11" max="12" width="17" style="23" bestFit="1" customWidth="1"/>
    <col min="13" max="13" width="19.33203125" style="23" bestFit="1" customWidth="1"/>
    <col min="14" max="14" width="17.5" style="23" bestFit="1" customWidth="1"/>
    <col min="15" max="15" width="26" style="23" bestFit="1" customWidth="1"/>
    <col min="16" max="16" width="17.33203125" style="23" bestFit="1" customWidth="1"/>
    <col min="17" max="17" width="26" style="23" bestFit="1" customWidth="1"/>
    <col min="18" max="18" width="18.33203125" style="23" bestFit="1" customWidth="1"/>
    <col min="19" max="16384" width="17.33203125" style="23"/>
  </cols>
  <sheetData>
    <row r="1" spans="1:18" ht="14.25" customHeight="1" x14ac:dyDescent="0.2">
      <c r="A1" s="23" t="s">
        <v>82</v>
      </c>
      <c r="B1" s="23" t="s">
        <v>62</v>
      </c>
      <c r="C1" s="23" t="s">
        <v>63</v>
      </c>
      <c r="D1" s="23" t="s">
        <v>64</v>
      </c>
      <c r="E1" s="23" t="s">
        <v>65</v>
      </c>
      <c r="F1" s="23" t="s">
        <v>66</v>
      </c>
      <c r="G1" s="23" t="s">
        <v>67</v>
      </c>
      <c r="H1" s="23" t="s">
        <v>68</v>
      </c>
      <c r="I1" s="23" t="s">
        <v>69</v>
      </c>
      <c r="J1" s="23" t="s">
        <v>70</v>
      </c>
      <c r="K1" s="23" t="s">
        <v>71</v>
      </c>
      <c r="L1" s="23" t="s">
        <v>72</v>
      </c>
      <c r="M1" s="23" t="s">
        <v>73</v>
      </c>
      <c r="N1" s="23" t="s">
        <v>74</v>
      </c>
      <c r="O1" s="23" t="s">
        <v>75</v>
      </c>
      <c r="P1" s="23" t="s">
        <v>76</v>
      </c>
      <c r="Q1" s="23" t="s">
        <v>77</v>
      </c>
      <c r="R1" s="23" t="s">
        <v>78</v>
      </c>
    </row>
    <row r="2" spans="1:18" ht="14.25" customHeight="1" x14ac:dyDescent="0.2">
      <c r="A2" s="23" t="s">
        <v>33</v>
      </c>
      <c r="B2" s="23">
        <v>0</v>
      </c>
      <c r="C2" s="23">
        <v>0</v>
      </c>
      <c r="D2" s="23">
        <v>0</v>
      </c>
      <c r="E2" s="23">
        <v>0</v>
      </c>
      <c r="F2" s="23">
        <v>0</v>
      </c>
      <c r="G2" s="23">
        <v>0</v>
      </c>
      <c r="H2" s="23">
        <v>0</v>
      </c>
      <c r="I2" s="23">
        <v>0</v>
      </c>
      <c r="J2" s="23">
        <v>0</v>
      </c>
      <c r="K2" s="23">
        <v>0</v>
      </c>
      <c r="L2" s="23">
        <v>0</v>
      </c>
      <c r="M2" s="23">
        <v>0</v>
      </c>
      <c r="N2" s="23">
        <v>0</v>
      </c>
      <c r="O2" s="23">
        <v>0</v>
      </c>
      <c r="P2" s="23">
        <v>0</v>
      </c>
      <c r="Q2" s="23">
        <v>0</v>
      </c>
      <c r="R2" s="23">
        <v>0</v>
      </c>
    </row>
    <row r="3" spans="1:18" ht="14.25" customHeight="1" x14ac:dyDescent="0.2">
      <c r="A3" s="23">
        <v>0</v>
      </c>
      <c r="B3" s="23">
        <v>0</v>
      </c>
      <c r="C3" s="23">
        <v>0</v>
      </c>
      <c r="D3" s="23">
        <v>0</v>
      </c>
      <c r="E3" s="23">
        <v>0</v>
      </c>
      <c r="F3" s="23">
        <v>0</v>
      </c>
      <c r="G3" s="23">
        <v>0</v>
      </c>
      <c r="H3" s="23">
        <v>0</v>
      </c>
      <c r="I3" s="23">
        <v>0</v>
      </c>
      <c r="J3" s="23">
        <v>0</v>
      </c>
      <c r="K3" s="23">
        <v>0</v>
      </c>
      <c r="L3" s="23">
        <v>0</v>
      </c>
      <c r="M3" s="23">
        <v>0</v>
      </c>
      <c r="N3" s="23">
        <v>0</v>
      </c>
      <c r="O3" s="23">
        <v>0</v>
      </c>
      <c r="P3" s="23">
        <v>0</v>
      </c>
      <c r="Q3" s="23">
        <v>0</v>
      </c>
      <c r="R3" s="23">
        <v>0</v>
      </c>
    </row>
    <row r="4" spans="1:18" ht="14.25" customHeight="1" x14ac:dyDescent="0.2">
      <c r="A4" s="23">
        <v>1</v>
      </c>
      <c r="B4" s="23">
        <v>0</v>
      </c>
      <c r="C4" s="23">
        <v>0</v>
      </c>
      <c r="D4" s="23">
        <v>0</v>
      </c>
      <c r="E4" s="23">
        <v>0</v>
      </c>
      <c r="F4" s="23">
        <v>0</v>
      </c>
      <c r="G4" s="23">
        <v>0</v>
      </c>
      <c r="H4" s="23">
        <v>0</v>
      </c>
      <c r="I4" s="23">
        <v>0</v>
      </c>
      <c r="J4" s="23">
        <v>0</v>
      </c>
      <c r="K4" s="23">
        <v>0</v>
      </c>
      <c r="L4" s="23">
        <v>0</v>
      </c>
      <c r="M4" s="23">
        <v>0</v>
      </c>
      <c r="N4" s="24">
        <v>0.36939559709747016</v>
      </c>
      <c r="O4" s="24">
        <v>0.42340846418800804</v>
      </c>
      <c r="P4" s="24">
        <v>0.34881297281065921</v>
      </c>
      <c r="Q4" s="24">
        <v>0.42938134366818631</v>
      </c>
      <c r="R4" s="24">
        <v>0.46092254210008754</v>
      </c>
    </row>
    <row r="5" spans="1:18" ht="14.25" customHeight="1" x14ac:dyDescent="0.2">
      <c r="A5" s="23">
        <v>2</v>
      </c>
      <c r="B5" s="23">
        <f t="shared" ref="B5:M13" si="0">B$4 * $A5</f>
        <v>0</v>
      </c>
      <c r="C5" s="23">
        <f t="shared" si="0"/>
        <v>0</v>
      </c>
      <c r="D5" s="23">
        <f t="shared" si="0"/>
        <v>0</v>
      </c>
      <c r="E5" s="23">
        <f t="shared" si="0"/>
        <v>0</v>
      </c>
      <c r="F5" s="23">
        <f t="shared" si="0"/>
        <v>0</v>
      </c>
      <c r="G5" s="23">
        <f t="shared" si="0"/>
        <v>0</v>
      </c>
      <c r="H5" s="23">
        <f t="shared" si="0"/>
        <v>0</v>
      </c>
      <c r="I5" s="23">
        <f t="shared" si="0"/>
        <v>0</v>
      </c>
      <c r="J5" s="23">
        <f t="shared" si="0"/>
        <v>0</v>
      </c>
      <c r="K5" s="23">
        <f t="shared" si="0"/>
        <v>0</v>
      </c>
      <c r="L5" s="23">
        <f t="shared" si="0"/>
        <v>0</v>
      </c>
      <c r="M5" s="23">
        <f t="shared" si="0"/>
        <v>0</v>
      </c>
      <c r="N5" s="23">
        <f>N$4 * $A5</f>
        <v>0.73879119419494033</v>
      </c>
      <c r="O5" s="23">
        <f t="shared" ref="O5:R5" si="1">O$4 * $A5</f>
        <v>0.84681692837601608</v>
      </c>
      <c r="P5" s="23">
        <f t="shared" si="1"/>
        <v>0.69762594562131841</v>
      </c>
      <c r="Q5" s="23">
        <f t="shared" si="1"/>
        <v>0.85876268733637262</v>
      </c>
      <c r="R5" s="23">
        <f t="shared" si="1"/>
        <v>0.92184508420017508</v>
      </c>
    </row>
    <row r="6" spans="1:18" ht="14.25" customHeight="1" x14ac:dyDescent="0.2">
      <c r="A6" s="23">
        <v>3</v>
      </c>
      <c r="B6" s="23">
        <f t="shared" si="0"/>
        <v>0</v>
      </c>
      <c r="C6" s="23">
        <f t="shared" si="0"/>
        <v>0</v>
      </c>
      <c r="D6" s="23">
        <f t="shared" si="0"/>
        <v>0</v>
      </c>
      <c r="E6" s="23">
        <f t="shared" si="0"/>
        <v>0</v>
      </c>
      <c r="F6" s="23">
        <f t="shared" si="0"/>
        <v>0</v>
      </c>
      <c r="G6" s="23">
        <f t="shared" si="0"/>
        <v>0</v>
      </c>
      <c r="H6" s="23">
        <f t="shared" si="0"/>
        <v>0</v>
      </c>
      <c r="I6" s="23">
        <f t="shared" si="0"/>
        <v>0</v>
      </c>
      <c r="J6" s="23">
        <f t="shared" si="0"/>
        <v>0</v>
      </c>
      <c r="K6" s="23">
        <f t="shared" si="0"/>
        <v>0</v>
      </c>
      <c r="L6" s="23">
        <f t="shared" si="0"/>
        <v>0</v>
      </c>
      <c r="M6" s="23">
        <f t="shared" si="0"/>
        <v>0</v>
      </c>
      <c r="N6" s="23">
        <f t="shared" ref="N6:R13" si="2">N$4 * $A6</f>
        <v>1.1081867912924106</v>
      </c>
      <c r="O6" s="23">
        <f t="shared" si="2"/>
        <v>1.2702253925640241</v>
      </c>
      <c r="P6" s="23">
        <f t="shared" si="2"/>
        <v>1.0464389184319776</v>
      </c>
      <c r="Q6" s="23">
        <f t="shared" si="2"/>
        <v>1.2881440310045589</v>
      </c>
      <c r="R6" s="23">
        <f t="shared" si="2"/>
        <v>1.3827676263002626</v>
      </c>
    </row>
    <row r="7" spans="1:18" ht="14.25" customHeight="1" x14ac:dyDescent="0.2">
      <c r="A7" s="23">
        <v>4</v>
      </c>
      <c r="B7" s="23">
        <f t="shared" si="0"/>
        <v>0</v>
      </c>
      <c r="C7" s="23">
        <f t="shared" si="0"/>
        <v>0</v>
      </c>
      <c r="D7" s="23">
        <f t="shared" si="0"/>
        <v>0</v>
      </c>
      <c r="E7" s="23">
        <f t="shared" si="0"/>
        <v>0</v>
      </c>
      <c r="F7" s="23">
        <f t="shared" si="0"/>
        <v>0</v>
      </c>
      <c r="G7" s="23">
        <f t="shared" si="0"/>
        <v>0</v>
      </c>
      <c r="H7" s="23">
        <f t="shared" si="0"/>
        <v>0</v>
      </c>
      <c r="I7" s="23">
        <f t="shared" si="0"/>
        <v>0</v>
      </c>
      <c r="J7" s="23">
        <f t="shared" si="0"/>
        <v>0</v>
      </c>
      <c r="K7" s="23">
        <f t="shared" si="0"/>
        <v>0</v>
      </c>
      <c r="L7" s="23">
        <f t="shared" si="0"/>
        <v>0</v>
      </c>
      <c r="M7" s="23">
        <f t="shared" si="0"/>
        <v>0</v>
      </c>
      <c r="N7" s="23">
        <f t="shared" si="2"/>
        <v>1.4775823883898807</v>
      </c>
      <c r="O7" s="23">
        <f t="shared" si="2"/>
        <v>1.6936338567520322</v>
      </c>
      <c r="P7" s="23">
        <f t="shared" si="2"/>
        <v>1.3952518912426368</v>
      </c>
      <c r="Q7" s="23">
        <f t="shared" si="2"/>
        <v>1.7175253746727452</v>
      </c>
      <c r="R7" s="23">
        <f t="shared" si="2"/>
        <v>1.8436901684003502</v>
      </c>
    </row>
    <row r="8" spans="1:18" ht="14.25" customHeight="1" x14ac:dyDescent="0.2">
      <c r="A8" s="23">
        <v>5</v>
      </c>
      <c r="B8" s="23">
        <f t="shared" si="0"/>
        <v>0</v>
      </c>
      <c r="C8" s="23">
        <f t="shared" si="0"/>
        <v>0</v>
      </c>
      <c r="D8" s="23">
        <f t="shared" si="0"/>
        <v>0</v>
      </c>
      <c r="E8" s="23">
        <f t="shared" si="0"/>
        <v>0</v>
      </c>
      <c r="F8" s="23">
        <f t="shared" si="0"/>
        <v>0</v>
      </c>
      <c r="G8" s="23">
        <f t="shared" si="0"/>
        <v>0</v>
      </c>
      <c r="H8" s="23">
        <f t="shared" si="0"/>
        <v>0</v>
      </c>
      <c r="I8" s="23">
        <f t="shared" si="0"/>
        <v>0</v>
      </c>
      <c r="J8" s="23">
        <f t="shared" si="0"/>
        <v>0</v>
      </c>
      <c r="K8" s="23">
        <f t="shared" si="0"/>
        <v>0</v>
      </c>
      <c r="L8" s="23">
        <f t="shared" si="0"/>
        <v>0</v>
      </c>
      <c r="M8" s="23">
        <f t="shared" si="0"/>
        <v>0</v>
      </c>
      <c r="N8" s="23">
        <f t="shared" si="2"/>
        <v>1.8469779854873507</v>
      </c>
      <c r="O8" s="23">
        <f t="shared" si="2"/>
        <v>2.1170423209400404</v>
      </c>
      <c r="P8" s="23">
        <f t="shared" si="2"/>
        <v>1.7440648640532961</v>
      </c>
      <c r="Q8" s="23">
        <f t="shared" si="2"/>
        <v>2.1469067183409316</v>
      </c>
      <c r="R8" s="23">
        <f t="shared" si="2"/>
        <v>2.3046127105004377</v>
      </c>
    </row>
    <row r="9" spans="1:18" ht="14.25" customHeight="1" x14ac:dyDescent="0.2">
      <c r="A9" s="23">
        <v>6</v>
      </c>
      <c r="B9" s="23">
        <f t="shared" si="0"/>
        <v>0</v>
      </c>
      <c r="C9" s="23">
        <f t="shared" si="0"/>
        <v>0</v>
      </c>
      <c r="D9" s="23">
        <f t="shared" si="0"/>
        <v>0</v>
      </c>
      <c r="E9" s="23">
        <f t="shared" si="0"/>
        <v>0</v>
      </c>
      <c r="F9" s="23">
        <f t="shared" si="0"/>
        <v>0</v>
      </c>
      <c r="G9" s="23">
        <f t="shared" si="0"/>
        <v>0</v>
      </c>
      <c r="H9" s="23">
        <f t="shared" si="0"/>
        <v>0</v>
      </c>
      <c r="I9" s="23">
        <f t="shared" si="0"/>
        <v>0</v>
      </c>
      <c r="J9" s="23">
        <f t="shared" si="0"/>
        <v>0</v>
      </c>
      <c r="K9" s="23">
        <f t="shared" si="0"/>
        <v>0</v>
      </c>
      <c r="L9" s="23">
        <f t="shared" si="0"/>
        <v>0</v>
      </c>
      <c r="M9" s="23">
        <f t="shared" si="0"/>
        <v>0</v>
      </c>
      <c r="N9" s="23">
        <f t="shared" si="2"/>
        <v>2.2163735825848212</v>
      </c>
      <c r="O9" s="23">
        <f t="shared" si="2"/>
        <v>2.5404507851280482</v>
      </c>
      <c r="P9" s="23">
        <f t="shared" si="2"/>
        <v>2.0928778368639551</v>
      </c>
      <c r="Q9" s="23">
        <f t="shared" si="2"/>
        <v>2.5762880620091178</v>
      </c>
      <c r="R9" s="23">
        <f t="shared" si="2"/>
        <v>2.7655352526005252</v>
      </c>
    </row>
    <row r="10" spans="1:18" ht="14.25" customHeight="1" x14ac:dyDescent="0.2">
      <c r="A10" s="23">
        <v>7</v>
      </c>
      <c r="B10" s="23">
        <f t="shared" si="0"/>
        <v>0</v>
      </c>
      <c r="C10" s="23">
        <f t="shared" si="0"/>
        <v>0</v>
      </c>
      <c r="D10" s="23">
        <f t="shared" si="0"/>
        <v>0</v>
      </c>
      <c r="E10" s="23">
        <f t="shared" si="0"/>
        <v>0</v>
      </c>
      <c r="F10" s="23">
        <f t="shared" si="0"/>
        <v>0</v>
      </c>
      <c r="G10" s="23">
        <f t="shared" si="0"/>
        <v>0</v>
      </c>
      <c r="H10" s="23">
        <f t="shared" si="0"/>
        <v>0</v>
      </c>
      <c r="I10" s="23">
        <f t="shared" si="0"/>
        <v>0</v>
      </c>
      <c r="J10" s="23">
        <f t="shared" si="0"/>
        <v>0</v>
      </c>
      <c r="K10" s="23">
        <f t="shared" si="0"/>
        <v>0</v>
      </c>
      <c r="L10" s="23">
        <f t="shared" si="0"/>
        <v>0</v>
      </c>
      <c r="M10" s="23">
        <f t="shared" si="0"/>
        <v>0</v>
      </c>
      <c r="N10" s="23">
        <f t="shared" si="2"/>
        <v>2.5857691796822913</v>
      </c>
      <c r="O10" s="23">
        <f t="shared" si="2"/>
        <v>2.963859249316056</v>
      </c>
      <c r="P10" s="23">
        <f t="shared" si="2"/>
        <v>2.4416908096746144</v>
      </c>
      <c r="Q10" s="23">
        <f t="shared" si="2"/>
        <v>3.0056694056773043</v>
      </c>
      <c r="R10" s="23">
        <f t="shared" si="2"/>
        <v>3.2264577947006128</v>
      </c>
    </row>
    <row r="11" spans="1:18" ht="14.25" customHeight="1" x14ac:dyDescent="0.2">
      <c r="A11" s="23">
        <v>8</v>
      </c>
      <c r="B11" s="23">
        <f t="shared" si="0"/>
        <v>0</v>
      </c>
      <c r="C11" s="23">
        <f t="shared" si="0"/>
        <v>0</v>
      </c>
      <c r="D11" s="23">
        <f t="shared" si="0"/>
        <v>0</v>
      </c>
      <c r="E11" s="23">
        <f t="shared" si="0"/>
        <v>0</v>
      </c>
      <c r="F11" s="23">
        <f t="shared" si="0"/>
        <v>0</v>
      </c>
      <c r="G11" s="23">
        <f t="shared" si="0"/>
        <v>0</v>
      </c>
      <c r="H11" s="23">
        <f t="shared" si="0"/>
        <v>0</v>
      </c>
      <c r="I11" s="23">
        <f t="shared" si="0"/>
        <v>0</v>
      </c>
      <c r="J11" s="23">
        <f t="shared" si="0"/>
        <v>0</v>
      </c>
      <c r="K11" s="23">
        <f t="shared" si="0"/>
        <v>0</v>
      </c>
      <c r="L11" s="23">
        <f t="shared" si="0"/>
        <v>0</v>
      </c>
      <c r="M11" s="23">
        <f t="shared" si="0"/>
        <v>0</v>
      </c>
      <c r="N11" s="23">
        <f t="shared" si="2"/>
        <v>2.9551647767797613</v>
      </c>
      <c r="O11" s="23">
        <f t="shared" si="2"/>
        <v>3.3872677135040643</v>
      </c>
      <c r="P11" s="23">
        <f t="shared" si="2"/>
        <v>2.7905037824852736</v>
      </c>
      <c r="Q11" s="23">
        <f t="shared" si="2"/>
        <v>3.4350507493454905</v>
      </c>
      <c r="R11" s="23">
        <f t="shared" si="2"/>
        <v>3.6873803368007003</v>
      </c>
    </row>
    <row r="12" spans="1:18" ht="14.25" customHeight="1" x14ac:dyDescent="0.2">
      <c r="A12" s="23">
        <v>9</v>
      </c>
      <c r="B12" s="23">
        <f t="shared" si="0"/>
        <v>0</v>
      </c>
      <c r="C12" s="23">
        <f t="shared" si="0"/>
        <v>0</v>
      </c>
      <c r="D12" s="23">
        <f t="shared" si="0"/>
        <v>0</v>
      </c>
      <c r="E12" s="23">
        <f t="shared" si="0"/>
        <v>0</v>
      </c>
      <c r="F12" s="23">
        <f t="shared" si="0"/>
        <v>0</v>
      </c>
      <c r="G12" s="23">
        <f t="shared" si="0"/>
        <v>0</v>
      </c>
      <c r="H12" s="23">
        <f t="shared" si="0"/>
        <v>0</v>
      </c>
      <c r="I12" s="23">
        <f t="shared" si="0"/>
        <v>0</v>
      </c>
      <c r="J12" s="23">
        <f t="shared" si="0"/>
        <v>0</v>
      </c>
      <c r="K12" s="23">
        <f t="shared" si="0"/>
        <v>0</v>
      </c>
      <c r="L12" s="23">
        <f t="shared" si="0"/>
        <v>0</v>
      </c>
      <c r="M12" s="23">
        <f t="shared" si="0"/>
        <v>0</v>
      </c>
      <c r="N12" s="23">
        <f t="shared" si="2"/>
        <v>3.3245603738772314</v>
      </c>
      <c r="O12" s="23">
        <f t="shared" si="2"/>
        <v>3.8106761776920726</v>
      </c>
      <c r="P12" s="23">
        <f t="shared" si="2"/>
        <v>3.1393167552959329</v>
      </c>
      <c r="Q12" s="23">
        <f t="shared" si="2"/>
        <v>3.8644320930136766</v>
      </c>
      <c r="R12" s="23">
        <f t="shared" si="2"/>
        <v>4.1483028789007879</v>
      </c>
    </row>
    <row r="13" spans="1:18" ht="14.25" customHeight="1" x14ac:dyDescent="0.2">
      <c r="A13" s="23">
        <v>10</v>
      </c>
      <c r="B13" s="23">
        <f t="shared" si="0"/>
        <v>0</v>
      </c>
      <c r="C13" s="23">
        <f t="shared" si="0"/>
        <v>0</v>
      </c>
      <c r="D13" s="23">
        <f t="shared" si="0"/>
        <v>0</v>
      </c>
      <c r="E13" s="23">
        <f t="shared" si="0"/>
        <v>0</v>
      </c>
      <c r="F13" s="23">
        <f t="shared" si="0"/>
        <v>0</v>
      </c>
      <c r="G13" s="23">
        <f t="shared" si="0"/>
        <v>0</v>
      </c>
      <c r="H13" s="23">
        <f t="shared" si="0"/>
        <v>0</v>
      </c>
      <c r="I13" s="23">
        <f t="shared" si="0"/>
        <v>0</v>
      </c>
      <c r="J13" s="23">
        <f t="shared" si="0"/>
        <v>0</v>
      </c>
      <c r="K13" s="23">
        <f t="shared" si="0"/>
        <v>0</v>
      </c>
      <c r="L13" s="23">
        <f t="shared" si="0"/>
        <v>0</v>
      </c>
      <c r="M13" s="23">
        <f t="shared" si="0"/>
        <v>0</v>
      </c>
      <c r="N13" s="23">
        <f t="shared" si="2"/>
        <v>3.6939559709747014</v>
      </c>
      <c r="O13" s="23">
        <f t="shared" si="2"/>
        <v>4.2340846418800808</v>
      </c>
      <c r="P13" s="23">
        <f t="shared" si="2"/>
        <v>3.4881297281065922</v>
      </c>
      <c r="Q13" s="23">
        <f t="shared" si="2"/>
        <v>4.2938134366818632</v>
      </c>
      <c r="R13" s="23">
        <f t="shared" si="2"/>
        <v>4.6092254210008754</v>
      </c>
    </row>
    <row r="14" spans="1:18" ht="14.25" customHeight="1" x14ac:dyDescent="0.2"/>
    <row r="15" spans="1:18" ht="14.25" customHeight="1" x14ac:dyDescent="0.2"/>
    <row r="16" spans="1:18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10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N1" sqref="N1:N1048576"/>
    </sheetView>
  </sheetViews>
  <sheetFormatPr baseColWidth="10" defaultColWidth="15.1640625" defaultRowHeight="15" customHeight="1" x14ac:dyDescent="0.15"/>
  <cols>
    <col min="1" max="1" width="10" style="11" bestFit="1" customWidth="1"/>
    <col min="2" max="2" width="14.5" style="11" bestFit="1" customWidth="1"/>
    <col min="3" max="3" width="13" style="11" bestFit="1" customWidth="1"/>
    <col min="4" max="4" width="26.6640625" style="11" bestFit="1" customWidth="1"/>
    <col min="5" max="5" width="22.5" style="11" bestFit="1" customWidth="1"/>
    <col min="6" max="6" width="15.5" style="11" bestFit="1" customWidth="1"/>
    <col min="7" max="7" width="12.83203125" style="11" bestFit="1" customWidth="1"/>
    <col min="8" max="8" width="24.5" style="11" bestFit="1" customWidth="1"/>
    <col min="9" max="9" width="21.6640625" style="11" bestFit="1" customWidth="1"/>
    <col min="10" max="10" width="27.33203125" style="11" bestFit="1" customWidth="1"/>
    <col min="11" max="11" width="15" style="11" bestFit="1" customWidth="1"/>
    <col min="12" max="12" width="13.5" style="11" bestFit="1" customWidth="1"/>
    <col min="13" max="13" width="18.33203125" style="11" bestFit="1" customWidth="1"/>
    <col min="14" max="14" width="16.5" style="11" bestFit="1" customWidth="1"/>
    <col min="15" max="15" width="25" style="11" bestFit="1" customWidth="1"/>
    <col min="16" max="16" width="16.33203125" style="11" bestFit="1" customWidth="1"/>
    <col min="17" max="17" width="25" style="11" bestFit="1" customWidth="1"/>
    <col min="18" max="18" width="17.33203125" style="11" bestFit="1" customWidth="1"/>
    <col min="19" max="16384" width="15.1640625" style="11"/>
  </cols>
  <sheetData>
    <row r="1" spans="1:18" ht="14.25" customHeight="1" x14ac:dyDescent="0.15">
      <c r="A1" s="9" t="s">
        <v>83</v>
      </c>
      <c r="B1" s="9" t="s">
        <v>62</v>
      </c>
      <c r="C1" s="9" t="s">
        <v>63</v>
      </c>
      <c r="D1" s="9" t="s">
        <v>64</v>
      </c>
      <c r="E1" s="9" t="s">
        <v>65</v>
      </c>
      <c r="F1" s="9" t="s">
        <v>66</v>
      </c>
      <c r="G1" s="9" t="s">
        <v>67</v>
      </c>
      <c r="H1" s="9" t="s">
        <v>68</v>
      </c>
      <c r="I1" s="9" t="s">
        <v>95</v>
      </c>
      <c r="J1" s="9" t="s">
        <v>70</v>
      </c>
      <c r="K1" s="9" t="s">
        <v>71</v>
      </c>
      <c r="L1" s="9" t="s">
        <v>72</v>
      </c>
      <c r="M1" s="9" t="s">
        <v>73</v>
      </c>
      <c r="N1" s="9" t="s">
        <v>74</v>
      </c>
      <c r="O1" s="9" t="s">
        <v>75</v>
      </c>
      <c r="P1" s="9" t="s">
        <v>76</v>
      </c>
      <c r="Q1" s="9" t="s">
        <v>77</v>
      </c>
      <c r="R1" s="9" t="s">
        <v>78</v>
      </c>
    </row>
    <row r="2" spans="1:18" ht="14.25" customHeight="1" x14ac:dyDescent="0.15">
      <c r="A2" s="10" t="s">
        <v>11</v>
      </c>
      <c r="B2" s="12">
        <v>0</v>
      </c>
      <c r="C2" s="12">
        <v>0</v>
      </c>
      <c r="D2" s="12">
        <v>0</v>
      </c>
      <c r="E2" s="12">
        <v>0</v>
      </c>
      <c r="F2" s="12">
        <v>0</v>
      </c>
      <c r="G2" s="12">
        <v>0</v>
      </c>
      <c r="H2" s="12">
        <v>0</v>
      </c>
      <c r="I2" s="12">
        <v>0</v>
      </c>
      <c r="J2" s="12">
        <v>0</v>
      </c>
      <c r="K2" s="12">
        <v>0</v>
      </c>
      <c r="L2" s="12">
        <v>0</v>
      </c>
      <c r="M2" s="12">
        <v>0</v>
      </c>
      <c r="N2" s="12">
        <v>0</v>
      </c>
      <c r="O2" s="12">
        <v>0</v>
      </c>
      <c r="P2" s="12">
        <v>0</v>
      </c>
      <c r="Q2" s="12">
        <v>0</v>
      </c>
      <c r="R2" s="12">
        <v>0</v>
      </c>
    </row>
    <row r="3" spans="1:18" ht="14.25" customHeight="1" x14ac:dyDescent="0.2">
      <c r="A3" s="10" t="s">
        <v>40</v>
      </c>
      <c r="B3" s="11">
        <v>0</v>
      </c>
      <c r="C3" s="14">
        <v>-6.8869196813611228E-2</v>
      </c>
      <c r="D3" s="11">
        <v>-9.5086714086849877E-2</v>
      </c>
      <c r="E3" s="14">
        <v>-5.7946197697203994E-2</v>
      </c>
      <c r="F3" s="11">
        <v>-4.4816831701244619E-2</v>
      </c>
      <c r="G3" s="14">
        <v>-8.4334628297678918E-2</v>
      </c>
      <c r="H3" s="11">
        <v>-0.16365134005964357</v>
      </c>
      <c r="I3" s="14">
        <v>-0.16606013074542214</v>
      </c>
      <c r="J3" s="14">
        <v>0</v>
      </c>
      <c r="K3" s="11">
        <v>0</v>
      </c>
      <c r="L3" s="14">
        <v>-0.14956533356878929</v>
      </c>
      <c r="M3" s="11">
        <v>0</v>
      </c>
      <c r="N3" s="11">
        <v>0</v>
      </c>
      <c r="O3" s="14">
        <v>-7.4997041976585674E-2</v>
      </c>
      <c r="P3" s="14">
        <v>-7.2627900152943126E-2</v>
      </c>
      <c r="Q3" s="14">
        <v>-4.7892163345956758E-2</v>
      </c>
      <c r="R3" s="11">
        <v>0</v>
      </c>
    </row>
    <row r="4" spans="1:18" ht="14.25" customHeight="1" x14ac:dyDescent="0.2">
      <c r="A4" s="10" t="s">
        <v>84</v>
      </c>
      <c r="B4" s="11">
        <v>-0.66073812901782336</v>
      </c>
      <c r="C4" s="14">
        <v>-0.88037480889429331</v>
      </c>
      <c r="D4" s="11">
        <v>-0.60682032717213863</v>
      </c>
      <c r="E4" s="14">
        <v>-0.67248716053808855</v>
      </c>
      <c r="F4" s="11">
        <v>-0.44486490523087008</v>
      </c>
      <c r="G4" s="14">
        <v>-0.74607937420916148</v>
      </c>
      <c r="H4" s="11">
        <v>-0.45599416854641206</v>
      </c>
      <c r="I4" s="14">
        <v>-0.45857100578021531</v>
      </c>
      <c r="J4" s="14">
        <v>-0.96876750191524652</v>
      </c>
      <c r="K4" s="11">
        <v>0</v>
      </c>
      <c r="L4" s="14">
        <v>-0.67716236927389961</v>
      </c>
      <c r="M4" s="11">
        <v>-0.75264977151626122</v>
      </c>
      <c r="N4" s="14">
        <v>-0.72416235460044132</v>
      </c>
      <c r="O4" s="14">
        <v>-0.75748479118441514</v>
      </c>
      <c r="P4" s="14">
        <v>-0.73324818155860028</v>
      </c>
      <c r="Q4" s="14">
        <v>-0.7018673516990025</v>
      </c>
      <c r="R4" s="14">
        <v>-0.86933297554770661</v>
      </c>
    </row>
    <row r="5" spans="1:18" ht="14.25" customHeight="1" x14ac:dyDescent="0.2">
      <c r="A5" s="10" t="s">
        <v>51</v>
      </c>
      <c r="B5" s="11">
        <v>-0.47021427293158891</v>
      </c>
      <c r="C5" s="14">
        <v>-0.68895225796858095</v>
      </c>
      <c r="D5" s="11">
        <v>-0.61380662473728254</v>
      </c>
      <c r="E5" s="14">
        <v>-0.60748210621988785</v>
      </c>
      <c r="F5" s="11">
        <v>-0.53849946447317221</v>
      </c>
      <c r="G5" s="14">
        <v>-0.69083472793341638</v>
      </c>
      <c r="H5" s="11">
        <v>-0.51386656543329567</v>
      </c>
      <c r="I5" s="14">
        <v>-0.74202314980254025</v>
      </c>
      <c r="J5" s="14">
        <v>-0.56375663060367742</v>
      </c>
      <c r="K5" s="11">
        <v>0</v>
      </c>
      <c r="L5" s="14">
        <v>-0.70265273221438274</v>
      </c>
      <c r="M5" s="11">
        <v>-0.76252505640862922</v>
      </c>
      <c r="N5" s="14">
        <v>-0.69371680136034286</v>
      </c>
      <c r="O5" s="14">
        <v>-0.65383934172831626</v>
      </c>
      <c r="P5" s="14">
        <v>-0.72284040295497687</v>
      </c>
      <c r="Q5" s="14">
        <v>-0.73117813294922296</v>
      </c>
      <c r="R5" s="14">
        <v>-0.71444512069707944</v>
      </c>
    </row>
    <row r="6" spans="1:18" ht="14.25" customHeight="1" x14ac:dyDescent="0.2">
      <c r="A6" s="10" t="s">
        <v>28</v>
      </c>
      <c r="B6" s="11">
        <v>-0.15022040497886438</v>
      </c>
      <c r="C6" s="14">
        <v>0</v>
      </c>
      <c r="D6" s="11">
        <v>0</v>
      </c>
      <c r="E6" s="11">
        <v>0</v>
      </c>
      <c r="F6" s="11">
        <v>-0.14596787715459894</v>
      </c>
      <c r="G6" s="14">
        <v>0</v>
      </c>
      <c r="H6" s="11">
        <v>-0.15452769198437627</v>
      </c>
      <c r="I6" s="14">
        <v>0</v>
      </c>
      <c r="J6" s="14">
        <v>0</v>
      </c>
      <c r="K6" s="11">
        <v>0</v>
      </c>
      <c r="L6" s="14">
        <v>0</v>
      </c>
      <c r="M6" s="11">
        <v>0</v>
      </c>
      <c r="N6" s="11">
        <v>0</v>
      </c>
      <c r="O6" s="14">
        <v>-0.1601793946793045</v>
      </c>
      <c r="P6" s="11">
        <v>0</v>
      </c>
      <c r="Q6" s="14">
        <v>-0.17227351569659402</v>
      </c>
      <c r="R6" s="11">
        <v>0</v>
      </c>
    </row>
    <row r="7" spans="1:18" ht="14.25" customHeight="1" x14ac:dyDescent="0.2">
      <c r="A7" s="10" t="s">
        <v>18</v>
      </c>
      <c r="B7" s="11">
        <v>-0.38520009445167153</v>
      </c>
      <c r="C7" s="14">
        <v>-0.29765900254717664</v>
      </c>
      <c r="D7" s="11">
        <v>-0.39640358134752224</v>
      </c>
      <c r="E7" s="11">
        <v>0</v>
      </c>
      <c r="F7" s="11">
        <v>-0.58909892180626389</v>
      </c>
      <c r="G7" s="14">
        <v>-0.38868954970607367</v>
      </c>
      <c r="H7" s="11">
        <v>-0.63543775022225635</v>
      </c>
      <c r="I7" s="14">
        <v>-0.39112094585670748</v>
      </c>
      <c r="J7" s="14">
        <v>0</v>
      </c>
      <c r="K7" s="11">
        <v>0</v>
      </c>
      <c r="L7" s="14">
        <v>-0.36440129846129843</v>
      </c>
      <c r="M7" s="11">
        <v>-0.80251292771839355</v>
      </c>
      <c r="N7" s="14">
        <v>-0.29158935759402316</v>
      </c>
      <c r="O7" s="14">
        <v>-0.34053742244727692</v>
      </c>
      <c r="P7" s="14">
        <v>-0.37884343726085495</v>
      </c>
      <c r="Q7" s="14">
        <v>-0.32732394744709448</v>
      </c>
      <c r="R7" s="14">
        <v>-0.64584175941033373</v>
      </c>
    </row>
    <row r="8" spans="1:18" ht="14.25" customHeight="1" x14ac:dyDescent="0.2">
      <c r="A8" s="10" t="s">
        <v>33</v>
      </c>
      <c r="B8" s="11">
        <v>-0.50403583180102574</v>
      </c>
      <c r="C8" s="14">
        <v>-0.43765344049261484</v>
      </c>
      <c r="D8" s="11">
        <v>0</v>
      </c>
      <c r="E8" s="14">
        <v>-0.33731115605095291</v>
      </c>
      <c r="F8" s="11">
        <v>-0.41426311508980412</v>
      </c>
      <c r="G8" s="14">
        <v>-0.40470331680599658</v>
      </c>
      <c r="H8" s="11">
        <v>0</v>
      </c>
      <c r="I8" s="14">
        <v>-0.36071484289199895</v>
      </c>
      <c r="J8" s="14">
        <v>0</v>
      </c>
      <c r="K8" s="11">
        <v>0</v>
      </c>
      <c r="L8" s="14">
        <v>-0.40355956474414045</v>
      </c>
      <c r="M8" s="11">
        <v>0</v>
      </c>
      <c r="N8" s="14">
        <v>-0.36247452345077602</v>
      </c>
      <c r="O8" s="14">
        <v>-0.39246510588462069</v>
      </c>
      <c r="P8" s="14">
        <v>-0.42791481511983764</v>
      </c>
      <c r="Q8" s="14">
        <v>-0.36388369350026994</v>
      </c>
      <c r="R8" s="14">
        <v>-0.46406985121025279</v>
      </c>
    </row>
    <row r="9" spans="1:18" ht="14.25" customHeight="1" x14ac:dyDescent="0.15"/>
    <row r="10" spans="1:18" ht="14.25" customHeight="1" x14ac:dyDescent="0.15"/>
    <row r="11" spans="1:18" ht="14.25" customHeight="1" x14ac:dyDescent="0.2">
      <c r="B11" s="25"/>
    </row>
    <row r="12" spans="1:18" ht="14.25" customHeight="1" x14ac:dyDescent="0.15"/>
    <row r="13" spans="1:18" ht="14.25" customHeight="1" x14ac:dyDescent="0.15"/>
    <row r="14" spans="1:18" ht="14.25" customHeight="1" x14ac:dyDescent="0.15"/>
    <row r="15" spans="1:18" ht="14.25" customHeight="1" x14ac:dyDescent="0.15"/>
    <row r="16" spans="1:18" ht="14.25" customHeight="1" x14ac:dyDescent="0.15"/>
    <row r="17" ht="14.25" customHeight="1" x14ac:dyDescent="0.15"/>
    <row r="18" ht="14.25" customHeight="1" x14ac:dyDescent="0.15"/>
    <row r="19" ht="14.25" customHeight="1" x14ac:dyDescent="0.15"/>
    <row r="20" ht="14.25" customHeight="1" x14ac:dyDescent="0.15"/>
    <row r="21" ht="14.25" customHeight="1" x14ac:dyDescent="0.15"/>
    <row r="22" ht="14.25" customHeight="1" x14ac:dyDescent="0.15"/>
    <row r="23" ht="14.25" customHeight="1" x14ac:dyDescent="0.15"/>
    <row r="24" ht="14.25" customHeight="1" x14ac:dyDescent="0.15"/>
    <row r="25" ht="14.25" customHeight="1" x14ac:dyDescent="0.15"/>
    <row r="26" ht="14.25" customHeight="1" x14ac:dyDescent="0.15"/>
    <row r="27" ht="14.25" customHeight="1" x14ac:dyDescent="0.15"/>
    <row r="28" ht="14.25" customHeight="1" x14ac:dyDescent="0.15"/>
    <row r="29" ht="14.25" customHeight="1" x14ac:dyDescent="0.15"/>
    <row r="30" ht="14.25" customHeight="1" x14ac:dyDescent="0.15"/>
    <row r="31" ht="14.25" customHeight="1" x14ac:dyDescent="0.15"/>
    <row r="32" ht="14.25" customHeight="1" x14ac:dyDescent="0.15"/>
    <row r="33" ht="14.25" customHeight="1" x14ac:dyDescent="0.15"/>
    <row r="34" ht="14.25" customHeight="1" x14ac:dyDescent="0.15"/>
    <row r="35" ht="14.25" customHeight="1" x14ac:dyDescent="0.15"/>
    <row r="36" ht="14.25" customHeight="1" x14ac:dyDescent="0.15"/>
    <row r="37" ht="14.25" customHeight="1" x14ac:dyDescent="0.15"/>
    <row r="38" ht="14.25" customHeight="1" x14ac:dyDescent="0.15"/>
    <row r="39" ht="14.25" customHeight="1" x14ac:dyDescent="0.15"/>
    <row r="40" ht="14.25" customHeight="1" x14ac:dyDescent="0.15"/>
    <row r="41" ht="14.25" customHeight="1" x14ac:dyDescent="0.15"/>
    <row r="42" ht="14.25" customHeight="1" x14ac:dyDescent="0.15"/>
    <row r="43" ht="14.25" customHeight="1" x14ac:dyDescent="0.15"/>
    <row r="44" ht="14.25" customHeight="1" x14ac:dyDescent="0.15"/>
    <row r="45" ht="14.25" customHeight="1" x14ac:dyDescent="0.15"/>
    <row r="46" ht="14.25" customHeight="1" x14ac:dyDescent="0.15"/>
    <row r="47" ht="14.25" customHeight="1" x14ac:dyDescent="0.15"/>
    <row r="48" ht="14.25" customHeight="1" x14ac:dyDescent="0.15"/>
    <row r="49" ht="14.25" customHeight="1" x14ac:dyDescent="0.15"/>
    <row r="50" ht="14.25" customHeight="1" x14ac:dyDescent="0.15"/>
    <row r="51" ht="14.25" customHeight="1" x14ac:dyDescent="0.15"/>
    <row r="52" ht="14.25" customHeight="1" x14ac:dyDescent="0.15"/>
    <row r="53" ht="14.25" customHeight="1" x14ac:dyDescent="0.15"/>
    <row r="54" ht="14.25" customHeight="1" x14ac:dyDescent="0.15"/>
    <row r="55" ht="14.25" customHeight="1" x14ac:dyDescent="0.15"/>
    <row r="56" ht="14.25" customHeight="1" x14ac:dyDescent="0.15"/>
    <row r="57" ht="14.25" customHeight="1" x14ac:dyDescent="0.15"/>
    <row r="58" ht="14.25" customHeight="1" x14ac:dyDescent="0.15"/>
    <row r="59" ht="14.25" customHeight="1" x14ac:dyDescent="0.15"/>
    <row r="60" ht="14.25" customHeight="1" x14ac:dyDescent="0.15"/>
    <row r="61" ht="14.25" customHeight="1" x14ac:dyDescent="0.15"/>
    <row r="62" ht="14.25" customHeight="1" x14ac:dyDescent="0.15"/>
    <row r="63" ht="14.25" customHeight="1" x14ac:dyDescent="0.15"/>
    <row r="64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  <row r="70" ht="14.25" customHeight="1" x14ac:dyDescent="0.15"/>
    <row r="71" ht="14.25" customHeight="1" x14ac:dyDescent="0.15"/>
    <row r="72" ht="14.25" customHeight="1" x14ac:dyDescent="0.15"/>
    <row r="73" ht="14.25" customHeight="1" x14ac:dyDescent="0.15"/>
    <row r="74" ht="14.25" customHeight="1" x14ac:dyDescent="0.15"/>
    <row r="75" ht="14.25" customHeight="1" x14ac:dyDescent="0.15"/>
    <row r="76" ht="14.25" customHeight="1" x14ac:dyDescent="0.15"/>
    <row r="77" ht="14.25" customHeight="1" x14ac:dyDescent="0.15"/>
    <row r="78" ht="14.25" customHeight="1" x14ac:dyDescent="0.15"/>
    <row r="79" ht="14.25" customHeight="1" x14ac:dyDescent="0.15"/>
    <row r="80" ht="14.25" customHeight="1" x14ac:dyDescent="0.15"/>
    <row r="81" ht="14.25" customHeight="1" x14ac:dyDescent="0.15"/>
    <row r="82" ht="14.25" customHeight="1" x14ac:dyDescent="0.15"/>
    <row r="83" ht="14.25" customHeight="1" x14ac:dyDescent="0.15"/>
    <row r="84" ht="14.25" customHeight="1" x14ac:dyDescent="0.15"/>
    <row r="85" ht="14.25" customHeight="1" x14ac:dyDescent="0.15"/>
    <row r="86" ht="14.25" customHeight="1" x14ac:dyDescent="0.15"/>
    <row r="87" ht="14.25" customHeight="1" x14ac:dyDescent="0.15"/>
    <row r="88" ht="14.25" customHeight="1" x14ac:dyDescent="0.15"/>
    <row r="89" ht="14.25" customHeight="1" x14ac:dyDescent="0.15"/>
    <row r="90" ht="14.25" customHeight="1" x14ac:dyDescent="0.15"/>
    <row r="91" ht="14.25" customHeight="1" x14ac:dyDescent="0.15"/>
    <row r="92" ht="14.25" customHeight="1" x14ac:dyDescent="0.15"/>
    <row r="93" ht="14.25" customHeight="1" x14ac:dyDescent="0.15"/>
    <row r="94" ht="14.25" customHeight="1" x14ac:dyDescent="0.15"/>
    <row r="95" ht="14.25" customHeight="1" x14ac:dyDescent="0.15"/>
    <row r="96" ht="14.25" customHeight="1" x14ac:dyDescent="0.15"/>
    <row r="97" ht="14.25" customHeight="1" x14ac:dyDescent="0.15"/>
    <row r="98" ht="14.25" customHeight="1" x14ac:dyDescent="0.15"/>
    <row r="99" ht="14.25" customHeight="1" x14ac:dyDescent="0.15"/>
    <row r="100" ht="14.25" customHeight="1" x14ac:dyDescent="0.15"/>
    <row r="101" ht="14.25" customHeight="1" x14ac:dyDescent="0.15"/>
    <row r="102" ht="14.25" customHeight="1" x14ac:dyDescent="0.15"/>
    <row r="103" ht="14.25" customHeight="1" x14ac:dyDescent="0.15"/>
    <row r="104" ht="14.25" customHeight="1" x14ac:dyDescent="0.15"/>
    <row r="105" ht="14.25" customHeight="1" x14ac:dyDescent="0.15"/>
    <row r="106" ht="14.25" customHeight="1" x14ac:dyDescent="0.15"/>
    <row r="107" ht="14.25" customHeight="1" x14ac:dyDescent="0.15"/>
    <row r="108" ht="14.25" customHeight="1" x14ac:dyDescent="0.15"/>
    <row r="109" ht="14.25" customHeight="1" x14ac:dyDescent="0.15"/>
    <row r="110" ht="14.25" customHeight="1" x14ac:dyDescent="0.15"/>
    <row r="111" ht="14.25" customHeight="1" x14ac:dyDescent="0.15"/>
    <row r="112" ht="14.25" customHeight="1" x14ac:dyDescent="0.15"/>
    <row r="113" ht="14.25" customHeight="1" x14ac:dyDescent="0.15"/>
    <row r="114" ht="14.25" customHeight="1" x14ac:dyDescent="0.15"/>
    <row r="115" ht="14.25" customHeight="1" x14ac:dyDescent="0.15"/>
    <row r="116" ht="14.25" customHeight="1" x14ac:dyDescent="0.15"/>
    <row r="117" ht="14.25" customHeight="1" x14ac:dyDescent="0.15"/>
    <row r="118" ht="14.25" customHeight="1" x14ac:dyDescent="0.15"/>
    <row r="119" ht="14.25" customHeight="1" x14ac:dyDescent="0.15"/>
    <row r="120" ht="14.25" customHeight="1" x14ac:dyDescent="0.15"/>
    <row r="121" ht="14.25" customHeight="1" x14ac:dyDescent="0.15"/>
    <row r="122" ht="14.25" customHeight="1" x14ac:dyDescent="0.15"/>
    <row r="123" ht="14.25" customHeight="1" x14ac:dyDescent="0.15"/>
    <row r="124" ht="14.25" customHeight="1" x14ac:dyDescent="0.15"/>
    <row r="125" ht="14.25" customHeight="1" x14ac:dyDescent="0.15"/>
    <row r="126" ht="14.25" customHeight="1" x14ac:dyDescent="0.15"/>
    <row r="127" ht="14.25" customHeight="1" x14ac:dyDescent="0.15"/>
    <row r="128" ht="14.25" customHeight="1" x14ac:dyDescent="0.15"/>
    <row r="129" ht="14.25" customHeight="1" x14ac:dyDescent="0.15"/>
    <row r="130" ht="14.25" customHeight="1" x14ac:dyDescent="0.15"/>
    <row r="131" ht="14.25" customHeight="1" x14ac:dyDescent="0.15"/>
    <row r="132" ht="14.25" customHeight="1" x14ac:dyDescent="0.15"/>
    <row r="133" ht="14.25" customHeight="1" x14ac:dyDescent="0.15"/>
    <row r="134" ht="14.25" customHeight="1" x14ac:dyDescent="0.15"/>
    <row r="135" ht="14.25" customHeight="1" x14ac:dyDescent="0.15"/>
    <row r="136" ht="14.25" customHeight="1" x14ac:dyDescent="0.15"/>
    <row r="137" ht="14.25" customHeight="1" x14ac:dyDescent="0.15"/>
    <row r="138" ht="14.25" customHeight="1" x14ac:dyDescent="0.15"/>
    <row r="139" ht="14.25" customHeight="1" x14ac:dyDescent="0.15"/>
    <row r="140" ht="14.25" customHeight="1" x14ac:dyDescent="0.15"/>
    <row r="141" ht="14.25" customHeight="1" x14ac:dyDescent="0.15"/>
    <row r="142" ht="14.25" customHeight="1" x14ac:dyDescent="0.15"/>
    <row r="143" ht="14.25" customHeight="1" x14ac:dyDescent="0.15"/>
    <row r="144" ht="14.25" customHeight="1" x14ac:dyDescent="0.15"/>
    <row r="145" ht="14.25" customHeight="1" x14ac:dyDescent="0.15"/>
    <row r="146" ht="14.25" customHeight="1" x14ac:dyDescent="0.15"/>
    <row r="147" ht="14.25" customHeight="1" x14ac:dyDescent="0.15"/>
    <row r="148" ht="14.25" customHeight="1" x14ac:dyDescent="0.15"/>
    <row r="149" ht="14.25" customHeight="1" x14ac:dyDescent="0.15"/>
    <row r="150" ht="14.25" customHeight="1" x14ac:dyDescent="0.15"/>
    <row r="151" ht="14.25" customHeight="1" x14ac:dyDescent="0.15"/>
    <row r="152" ht="14.25" customHeight="1" x14ac:dyDescent="0.15"/>
    <row r="153" ht="14.25" customHeight="1" x14ac:dyDescent="0.15"/>
    <row r="154" ht="14.25" customHeight="1" x14ac:dyDescent="0.15"/>
    <row r="155" ht="14.25" customHeight="1" x14ac:dyDescent="0.15"/>
    <row r="156" ht="14.25" customHeight="1" x14ac:dyDescent="0.15"/>
    <row r="157" ht="14.25" customHeight="1" x14ac:dyDescent="0.15"/>
    <row r="158" ht="14.25" customHeight="1" x14ac:dyDescent="0.15"/>
    <row r="159" ht="14.25" customHeight="1" x14ac:dyDescent="0.15"/>
    <row r="160" ht="14.25" customHeight="1" x14ac:dyDescent="0.15"/>
    <row r="161" ht="14.25" customHeight="1" x14ac:dyDescent="0.15"/>
    <row r="162" ht="14.25" customHeight="1" x14ac:dyDescent="0.15"/>
    <row r="163" ht="14.25" customHeight="1" x14ac:dyDescent="0.15"/>
    <row r="164" ht="14.25" customHeight="1" x14ac:dyDescent="0.15"/>
    <row r="165" ht="14.25" customHeight="1" x14ac:dyDescent="0.15"/>
    <row r="166" ht="14.25" customHeight="1" x14ac:dyDescent="0.15"/>
    <row r="167" ht="14.25" customHeight="1" x14ac:dyDescent="0.15"/>
    <row r="168" ht="14.25" customHeight="1" x14ac:dyDescent="0.15"/>
    <row r="169" ht="14.25" customHeight="1" x14ac:dyDescent="0.15"/>
    <row r="170" ht="14.25" customHeight="1" x14ac:dyDescent="0.15"/>
    <row r="171" ht="14.25" customHeight="1" x14ac:dyDescent="0.15"/>
    <row r="172" ht="14.25" customHeight="1" x14ac:dyDescent="0.15"/>
    <row r="173" ht="14.25" customHeight="1" x14ac:dyDescent="0.15"/>
    <row r="174" ht="14.25" customHeight="1" x14ac:dyDescent="0.15"/>
    <row r="175" ht="14.25" customHeight="1" x14ac:dyDescent="0.15"/>
    <row r="176" ht="14.25" customHeight="1" x14ac:dyDescent="0.15"/>
    <row r="177" ht="14.25" customHeight="1" x14ac:dyDescent="0.15"/>
    <row r="178" ht="14.25" customHeight="1" x14ac:dyDescent="0.15"/>
    <row r="179" ht="14.25" customHeight="1" x14ac:dyDescent="0.15"/>
    <row r="180" ht="14.25" customHeight="1" x14ac:dyDescent="0.15"/>
    <row r="181" ht="14.25" customHeight="1" x14ac:dyDescent="0.15"/>
    <row r="182" ht="14.25" customHeight="1" x14ac:dyDescent="0.15"/>
    <row r="183" ht="14.25" customHeight="1" x14ac:dyDescent="0.15"/>
    <row r="184" ht="14.25" customHeight="1" x14ac:dyDescent="0.15"/>
    <row r="185" ht="14.25" customHeight="1" x14ac:dyDescent="0.15"/>
    <row r="186" ht="14.25" customHeight="1" x14ac:dyDescent="0.15"/>
    <row r="187" ht="14.25" customHeight="1" x14ac:dyDescent="0.15"/>
    <row r="188" ht="14.25" customHeight="1" x14ac:dyDescent="0.15"/>
    <row r="189" ht="14.25" customHeight="1" x14ac:dyDescent="0.15"/>
    <row r="190" ht="14.25" customHeight="1" x14ac:dyDescent="0.15"/>
    <row r="191" ht="14.25" customHeight="1" x14ac:dyDescent="0.15"/>
    <row r="192" ht="14.25" customHeight="1" x14ac:dyDescent="0.15"/>
    <row r="193" ht="14.25" customHeight="1" x14ac:dyDescent="0.15"/>
    <row r="194" ht="14.25" customHeight="1" x14ac:dyDescent="0.15"/>
    <row r="195" ht="14.25" customHeight="1" x14ac:dyDescent="0.15"/>
    <row r="196" ht="14.25" customHeight="1" x14ac:dyDescent="0.15"/>
    <row r="197" ht="14.25" customHeight="1" x14ac:dyDescent="0.15"/>
    <row r="198" ht="14.25" customHeight="1" x14ac:dyDescent="0.15"/>
    <row r="199" ht="14.25" customHeight="1" x14ac:dyDescent="0.15"/>
    <row r="200" ht="14.25" customHeight="1" x14ac:dyDescent="0.15"/>
    <row r="201" ht="14.25" customHeight="1" x14ac:dyDescent="0.15"/>
    <row r="202" ht="14.25" customHeight="1" x14ac:dyDescent="0.15"/>
    <row r="203" ht="14.25" customHeight="1" x14ac:dyDescent="0.15"/>
    <row r="204" ht="14.25" customHeight="1" x14ac:dyDescent="0.15"/>
    <row r="205" ht="14.25" customHeight="1" x14ac:dyDescent="0.15"/>
    <row r="206" ht="14.25" customHeight="1" x14ac:dyDescent="0.15"/>
    <row r="207" ht="14.25" customHeight="1" x14ac:dyDescent="0.15"/>
    <row r="208" ht="14.25" customHeight="1" x14ac:dyDescent="0.15"/>
    <row r="209" ht="14.25" customHeight="1" x14ac:dyDescent="0.15"/>
    <row r="210" ht="14.25" customHeight="1" x14ac:dyDescent="0.15"/>
    <row r="211" ht="14.25" customHeight="1" x14ac:dyDescent="0.15"/>
    <row r="212" ht="14.25" customHeight="1" x14ac:dyDescent="0.15"/>
    <row r="213" ht="14.25" customHeight="1" x14ac:dyDescent="0.15"/>
    <row r="214" ht="14.25" customHeight="1" x14ac:dyDescent="0.15"/>
    <row r="215" ht="14.25" customHeight="1" x14ac:dyDescent="0.15"/>
    <row r="216" ht="14.25" customHeight="1" x14ac:dyDescent="0.15"/>
    <row r="217" ht="14.25" customHeight="1" x14ac:dyDescent="0.15"/>
    <row r="218" ht="14.25" customHeight="1" x14ac:dyDescent="0.15"/>
    <row r="219" ht="14.25" customHeight="1" x14ac:dyDescent="0.15"/>
    <row r="220" ht="14.2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10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N1" sqref="N1:N1048576"/>
    </sheetView>
  </sheetViews>
  <sheetFormatPr baseColWidth="10" defaultColWidth="14.1640625" defaultRowHeight="15" customHeight="1" x14ac:dyDescent="0.2"/>
  <cols>
    <col min="1" max="1" width="11.5" style="18" bestFit="1" customWidth="1"/>
    <col min="2" max="2" width="15.83203125" style="18" bestFit="1" customWidth="1"/>
    <col min="3" max="3" width="14.1640625" style="18" bestFit="1" customWidth="1"/>
    <col min="4" max="4" width="29.33203125" style="18" bestFit="1" customWidth="1"/>
    <col min="5" max="5" width="24.83203125" style="18" bestFit="1" customWidth="1"/>
    <col min="6" max="6" width="17" style="18" bestFit="1" customWidth="1"/>
    <col min="7" max="7" width="14" style="18" bestFit="1" customWidth="1"/>
    <col min="8" max="8" width="27.1640625" style="18" bestFit="1" customWidth="1"/>
    <col min="9" max="9" width="23.83203125" style="18" bestFit="1" customWidth="1"/>
    <col min="10" max="10" width="29.6640625" style="18" bestFit="1" customWidth="1"/>
    <col min="11" max="11" width="16.83203125" style="18" bestFit="1" customWidth="1"/>
    <col min="12" max="12" width="15" style="18" bestFit="1" customWidth="1"/>
    <col min="13" max="13" width="20" style="18" bestFit="1" customWidth="1"/>
    <col min="14" max="14" width="18.1640625" style="18" bestFit="1" customWidth="1"/>
    <col min="15" max="15" width="27.83203125" style="18" bestFit="1" customWidth="1"/>
    <col min="16" max="16" width="18" style="18" bestFit="1" customWidth="1"/>
    <col min="17" max="17" width="27.83203125" style="18" bestFit="1" customWidth="1"/>
    <col min="18" max="18" width="19.5" style="18" bestFit="1" customWidth="1"/>
    <col min="19" max="16384" width="14.1640625" style="18"/>
  </cols>
  <sheetData>
    <row r="1" spans="1:18" ht="14.25" customHeight="1" x14ac:dyDescent="0.2">
      <c r="A1" s="16" t="s">
        <v>85</v>
      </c>
      <c r="B1" s="17" t="s">
        <v>62</v>
      </c>
      <c r="C1" s="17" t="s">
        <v>63</v>
      </c>
      <c r="D1" s="17" t="s">
        <v>64</v>
      </c>
      <c r="E1" s="17" t="s">
        <v>65</v>
      </c>
      <c r="F1" s="17" t="s">
        <v>66</v>
      </c>
      <c r="G1" s="17" t="s">
        <v>67</v>
      </c>
      <c r="H1" s="17" t="s">
        <v>68</v>
      </c>
      <c r="I1" s="17" t="s">
        <v>95</v>
      </c>
      <c r="J1" s="17" t="s">
        <v>70</v>
      </c>
      <c r="K1" s="17" t="s">
        <v>71</v>
      </c>
      <c r="L1" s="17" t="s">
        <v>72</v>
      </c>
      <c r="M1" s="17" t="s">
        <v>73</v>
      </c>
      <c r="N1" s="17" t="s">
        <v>74</v>
      </c>
      <c r="O1" s="17" t="s">
        <v>75</v>
      </c>
      <c r="P1" s="17" t="s">
        <v>76</v>
      </c>
      <c r="Q1" s="17" t="s">
        <v>77</v>
      </c>
      <c r="R1" s="17" t="s">
        <v>78</v>
      </c>
    </row>
    <row r="2" spans="1:18" ht="14.25" customHeight="1" x14ac:dyDescent="0.2">
      <c r="A2" s="16" t="s">
        <v>12</v>
      </c>
      <c r="B2" s="27">
        <v>0</v>
      </c>
      <c r="C2" s="27">
        <v>0</v>
      </c>
      <c r="D2" s="27">
        <v>0</v>
      </c>
      <c r="E2" s="27">
        <v>0</v>
      </c>
      <c r="F2" s="27">
        <v>0</v>
      </c>
      <c r="G2" s="27">
        <v>0</v>
      </c>
      <c r="H2" s="27">
        <v>0</v>
      </c>
      <c r="I2" s="27">
        <v>0</v>
      </c>
      <c r="J2" s="27">
        <v>0</v>
      </c>
      <c r="K2" s="27">
        <v>0</v>
      </c>
      <c r="L2" s="27">
        <v>0</v>
      </c>
      <c r="M2" s="27">
        <v>0</v>
      </c>
      <c r="N2" s="27">
        <v>0</v>
      </c>
      <c r="O2" s="27">
        <v>0</v>
      </c>
      <c r="P2" s="27">
        <v>0</v>
      </c>
      <c r="Q2" s="27">
        <v>0</v>
      </c>
      <c r="R2" s="27">
        <v>0</v>
      </c>
    </row>
    <row r="3" spans="1:18" ht="14.25" customHeight="1" x14ac:dyDescent="0.2">
      <c r="A3" s="16" t="s">
        <v>48</v>
      </c>
      <c r="B3" s="18">
        <v>-0.25341959473074482</v>
      </c>
      <c r="C3" s="14">
        <v>-0.62064611727680385</v>
      </c>
      <c r="D3" s="18">
        <v>0.40598454389823191</v>
      </c>
      <c r="E3" s="14">
        <v>0.2371715511820284</v>
      </c>
      <c r="F3" s="18">
        <v>-0.18919761184171832</v>
      </c>
      <c r="G3" s="14">
        <v>-0.67027695110790386</v>
      </c>
      <c r="H3" s="18">
        <v>0.23729897186967311</v>
      </c>
      <c r="I3" s="14">
        <v>0</v>
      </c>
      <c r="J3" s="18">
        <v>0.44813855578295719</v>
      </c>
      <c r="K3" s="18">
        <v>0</v>
      </c>
      <c r="L3" s="14">
        <v>0.19721300355036719</v>
      </c>
      <c r="M3" s="18">
        <v>0.37690073946668795</v>
      </c>
      <c r="N3" s="14">
        <v>-0.7212939091595868</v>
      </c>
      <c r="O3" s="14">
        <v>-7.8362604106368819E-2</v>
      </c>
      <c r="P3" s="14">
        <v>-0.80472074814616634</v>
      </c>
      <c r="Q3" s="14">
        <v>-0.30864703404275173</v>
      </c>
      <c r="R3" s="14">
        <v>5.8772426078684874E-2</v>
      </c>
    </row>
    <row r="4" spans="1:18" ht="14.25" customHeight="1" x14ac:dyDescent="0.2">
      <c r="A4" s="17" t="s">
        <v>33</v>
      </c>
      <c r="B4" s="27">
        <v>0</v>
      </c>
      <c r="C4" s="27">
        <v>0</v>
      </c>
      <c r="D4" s="27">
        <v>0</v>
      </c>
      <c r="E4" s="27">
        <v>0</v>
      </c>
      <c r="F4" s="27">
        <v>0</v>
      </c>
      <c r="G4" s="27">
        <v>0</v>
      </c>
      <c r="H4" s="27">
        <v>0</v>
      </c>
      <c r="I4" s="27">
        <v>0</v>
      </c>
      <c r="J4" s="27">
        <v>0</v>
      </c>
      <c r="K4" s="27">
        <v>0</v>
      </c>
      <c r="L4" s="27">
        <v>0</v>
      </c>
      <c r="M4" s="27">
        <v>0</v>
      </c>
      <c r="N4" s="27">
        <v>0</v>
      </c>
      <c r="O4" s="27">
        <v>0</v>
      </c>
      <c r="P4" s="27">
        <v>0</v>
      </c>
      <c r="Q4" s="27">
        <v>0</v>
      </c>
      <c r="R4" s="27">
        <v>0</v>
      </c>
    </row>
    <row r="5" spans="1:18" ht="14.25" customHeight="1" x14ac:dyDescent="0.2"/>
    <row r="6" spans="1:18" ht="14.25" customHeight="1" x14ac:dyDescent="0.2"/>
    <row r="7" spans="1:18" ht="14.25" customHeight="1" x14ac:dyDescent="0.2"/>
    <row r="8" spans="1:18" ht="14.25" customHeight="1" x14ac:dyDescent="0.2"/>
    <row r="9" spans="1:18" ht="14.25" customHeight="1" x14ac:dyDescent="0.2"/>
    <row r="10" spans="1:18" ht="14.25" customHeight="1" x14ac:dyDescent="0.2"/>
    <row r="11" spans="1:18" ht="14.25" customHeight="1" x14ac:dyDescent="0.2"/>
    <row r="12" spans="1:18" ht="14.25" customHeight="1" x14ac:dyDescent="0.2"/>
    <row r="13" spans="1:18" ht="14.25" customHeight="1" x14ac:dyDescent="0.2"/>
    <row r="14" spans="1:18" ht="14.25" customHeight="1" x14ac:dyDescent="0.2"/>
    <row r="15" spans="1:18" ht="14.25" customHeight="1" x14ac:dyDescent="0.2"/>
    <row r="16" spans="1:18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1000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H35" sqref="H35"/>
    </sheetView>
  </sheetViews>
  <sheetFormatPr baseColWidth="10" defaultColWidth="6.83203125" defaultRowHeight="15" customHeight="1" x14ac:dyDescent="0.15"/>
  <cols>
    <col min="1" max="2" width="6.83203125" bestFit="1" customWidth="1"/>
    <col min="3" max="3" width="7.6640625" style="7" bestFit="1" customWidth="1"/>
    <col min="4" max="4" width="14.5" style="7" bestFit="1" customWidth="1"/>
    <col min="5" max="5" width="14.33203125" style="7" bestFit="1" customWidth="1"/>
    <col min="6" max="6" width="26.6640625" style="7" bestFit="1" customWidth="1"/>
    <col min="7" max="7" width="22.5" style="7" bestFit="1" customWidth="1"/>
    <col min="8" max="8" width="15.5" style="7" bestFit="1" customWidth="1"/>
    <col min="9" max="9" width="14.33203125" style="7" bestFit="1" customWidth="1"/>
    <col min="10" max="10" width="24.5" style="7" bestFit="1" customWidth="1"/>
    <col min="11" max="11" width="21.6640625" style="7" bestFit="1" customWidth="1"/>
    <col min="12" max="12" width="27.33203125" style="7" bestFit="1" customWidth="1"/>
    <col min="13" max="13" width="15" style="7" bestFit="1" customWidth="1"/>
    <col min="14" max="14" width="14.33203125" style="7" bestFit="1" customWidth="1"/>
    <col min="15" max="15" width="18.33203125" style="7" bestFit="1" customWidth="1"/>
    <col min="16" max="16" width="16.5" style="7" bestFit="1" customWidth="1"/>
    <col min="17" max="17" width="25" style="7" bestFit="1" customWidth="1"/>
    <col min="18" max="18" width="16.33203125" style="7" bestFit="1" customWidth="1"/>
    <col min="19" max="19" width="25" style="7" bestFit="1" customWidth="1"/>
    <col min="20" max="20" width="17.33203125" style="7" bestFit="1" customWidth="1"/>
    <col min="21" max="16384" width="6.83203125" style="7"/>
  </cols>
  <sheetData>
    <row r="1" spans="1:20" ht="14.25" customHeight="1" x14ac:dyDescent="0.2">
      <c r="A1" s="5" t="s">
        <v>86</v>
      </c>
      <c r="B1" s="5" t="s">
        <v>87</v>
      </c>
      <c r="C1" s="28" t="s">
        <v>88</v>
      </c>
      <c r="D1" s="29" t="s">
        <v>62</v>
      </c>
      <c r="E1" s="29" t="s">
        <v>63</v>
      </c>
      <c r="F1" s="29" t="s">
        <v>64</v>
      </c>
      <c r="G1" s="29" t="s">
        <v>65</v>
      </c>
      <c r="H1" s="29" t="s">
        <v>66</v>
      </c>
      <c r="I1" s="29" t="s">
        <v>67</v>
      </c>
      <c r="J1" s="29" t="s">
        <v>68</v>
      </c>
      <c r="K1" s="29" t="s">
        <v>95</v>
      </c>
      <c r="L1" s="29" t="s">
        <v>70</v>
      </c>
      <c r="M1" s="29" t="s">
        <v>71</v>
      </c>
      <c r="N1" s="29" t="s">
        <v>72</v>
      </c>
      <c r="O1" s="29" t="s">
        <v>73</v>
      </c>
      <c r="P1" s="29" t="s">
        <v>74</v>
      </c>
      <c r="Q1" s="29" t="s">
        <v>75</v>
      </c>
      <c r="R1" s="29" t="s">
        <v>76</v>
      </c>
      <c r="S1" s="29" t="s">
        <v>77</v>
      </c>
      <c r="T1" s="29" t="s">
        <v>78</v>
      </c>
    </row>
    <row r="2" spans="1:20" ht="14.25" customHeight="1" x14ac:dyDescent="0.2">
      <c r="A2" s="5" t="s">
        <v>33</v>
      </c>
      <c r="B2" s="5" t="s">
        <v>33</v>
      </c>
      <c r="C2" s="28" t="s">
        <v>33</v>
      </c>
      <c r="D2" s="26">
        <v>0</v>
      </c>
      <c r="E2" s="26">
        <v>0</v>
      </c>
      <c r="F2" s="26">
        <v>0</v>
      </c>
      <c r="G2" s="26">
        <v>0</v>
      </c>
      <c r="H2" s="26">
        <v>0</v>
      </c>
      <c r="I2" s="26">
        <v>0</v>
      </c>
      <c r="J2" s="26">
        <v>0</v>
      </c>
      <c r="K2" s="26">
        <v>0</v>
      </c>
      <c r="L2" s="26">
        <v>0</v>
      </c>
      <c r="M2" s="26">
        <v>0</v>
      </c>
      <c r="N2" s="26">
        <v>0</v>
      </c>
      <c r="O2" s="26">
        <v>0</v>
      </c>
      <c r="P2" s="26">
        <v>0</v>
      </c>
      <c r="Q2" s="26">
        <v>0</v>
      </c>
      <c r="R2" s="26">
        <v>0</v>
      </c>
      <c r="S2" s="26">
        <v>0</v>
      </c>
      <c r="T2" s="26">
        <v>0</v>
      </c>
    </row>
    <row r="3" spans="1:20" ht="14.25" customHeight="1" x14ac:dyDescent="0.2">
      <c r="A3" s="5">
        <v>0</v>
      </c>
      <c r="B3" s="5">
        <v>30</v>
      </c>
      <c r="C3" s="28" t="s">
        <v>93</v>
      </c>
      <c r="D3" s="26">
        <v>0</v>
      </c>
      <c r="E3" s="26">
        <v>0</v>
      </c>
      <c r="F3" s="26">
        <v>0</v>
      </c>
      <c r="G3" s="26">
        <v>0</v>
      </c>
      <c r="H3" s="26">
        <v>0</v>
      </c>
      <c r="I3" s="26">
        <v>0</v>
      </c>
      <c r="J3" s="26">
        <v>0</v>
      </c>
      <c r="K3" s="26">
        <v>0</v>
      </c>
      <c r="L3" s="26">
        <v>0</v>
      </c>
      <c r="M3" s="26">
        <v>0</v>
      </c>
      <c r="N3" s="26">
        <v>0</v>
      </c>
      <c r="O3" s="26">
        <v>0</v>
      </c>
      <c r="P3" s="26">
        <v>0</v>
      </c>
      <c r="Q3" s="26">
        <v>0</v>
      </c>
      <c r="R3" s="26">
        <v>0</v>
      </c>
      <c r="S3" s="26">
        <v>0</v>
      </c>
      <c r="T3" s="26">
        <v>0</v>
      </c>
    </row>
    <row r="4" spans="1:20" ht="14.25" customHeight="1" x14ac:dyDescent="0.2">
      <c r="A4" s="5">
        <v>31</v>
      </c>
      <c r="B4" s="5">
        <v>90</v>
      </c>
      <c r="C4" s="28" t="s">
        <v>94</v>
      </c>
      <c r="D4" s="26">
        <v>0</v>
      </c>
      <c r="E4" s="26">
        <v>0</v>
      </c>
      <c r="F4" s="26">
        <v>0</v>
      </c>
      <c r="G4" s="26">
        <v>0</v>
      </c>
      <c r="H4" s="26">
        <v>0</v>
      </c>
      <c r="I4" s="26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>
        <v>0</v>
      </c>
      <c r="P4" s="26">
        <v>0</v>
      </c>
      <c r="Q4" s="26">
        <v>0</v>
      </c>
      <c r="R4" s="26">
        <v>0</v>
      </c>
      <c r="S4" s="26">
        <v>0</v>
      </c>
      <c r="T4" s="26">
        <v>0</v>
      </c>
    </row>
    <row r="5" spans="1:20" ht="14.25" customHeight="1" x14ac:dyDescent="0.2">
      <c r="A5" s="5">
        <v>91</v>
      </c>
      <c r="B5" s="5">
        <v>365</v>
      </c>
      <c r="C5" s="28" t="s">
        <v>89</v>
      </c>
      <c r="D5" s="7">
        <v>-0.61152841265275149</v>
      </c>
      <c r="E5" s="8">
        <v>-0.60025094791925138</v>
      </c>
      <c r="F5" s="7">
        <v>-0.47080900436176137</v>
      </c>
      <c r="G5" s="8">
        <v>-0.59615721791052323</v>
      </c>
      <c r="H5" s="7">
        <v>-0.69372556481569236</v>
      </c>
      <c r="I5" s="8">
        <v>-0.71124366296426333</v>
      </c>
      <c r="J5" s="7">
        <v>-0.66646556322606842</v>
      </c>
      <c r="K5" s="8">
        <v>-0.72571902165154201</v>
      </c>
      <c r="L5" s="8">
        <v>-0.38940783999071493</v>
      </c>
      <c r="M5" s="7">
        <v>-0.74857237282493061</v>
      </c>
      <c r="N5" s="8">
        <v>-0.71879769169567009</v>
      </c>
      <c r="O5" s="7">
        <v>-0.41072404347460878</v>
      </c>
      <c r="P5" s="8">
        <v>-0.64322176198156922</v>
      </c>
      <c r="Q5" s="8">
        <v>-0.47890854548691331</v>
      </c>
      <c r="R5" s="8">
        <v>-0.74329570658026545</v>
      </c>
      <c r="S5" s="8">
        <v>-0.63321365009990127</v>
      </c>
      <c r="T5" s="8">
        <v>-0.63078718000693612</v>
      </c>
    </row>
    <row r="6" spans="1:20" ht="14.25" customHeight="1" x14ac:dyDescent="0.2">
      <c r="A6" s="5">
        <v>366</v>
      </c>
      <c r="B6" s="5" t="s">
        <v>90</v>
      </c>
      <c r="C6" s="28" t="s">
        <v>91</v>
      </c>
      <c r="D6" s="7">
        <v>-0.61152841265275149</v>
      </c>
      <c r="E6" s="8">
        <v>-0.60025094791925138</v>
      </c>
      <c r="F6" s="7">
        <v>-0.47080900436176137</v>
      </c>
      <c r="G6" s="8">
        <v>-0.59615721791052323</v>
      </c>
      <c r="H6" s="7">
        <v>-0.69372556481569236</v>
      </c>
      <c r="I6" s="8">
        <v>-0.71124366296426333</v>
      </c>
      <c r="J6" s="7">
        <v>-0.66646556322606842</v>
      </c>
      <c r="K6" s="8">
        <v>-0.72571902165154201</v>
      </c>
      <c r="L6" s="8">
        <v>-0.38940783999071493</v>
      </c>
      <c r="M6" s="7">
        <v>-0.74857237282493061</v>
      </c>
      <c r="N6" s="8">
        <v>-0.71879769169567009</v>
      </c>
      <c r="O6" s="7">
        <v>-0.41072404347460878</v>
      </c>
      <c r="P6" s="8">
        <v>-0.64322176198156922</v>
      </c>
      <c r="Q6" s="8">
        <v>-0.47890854548691331</v>
      </c>
      <c r="R6" s="8">
        <v>-0.74329570658026545</v>
      </c>
      <c r="S6" s="8">
        <v>-0.63321365009990127</v>
      </c>
      <c r="T6" s="8">
        <v>-0.63078718000693612</v>
      </c>
    </row>
    <row r="7" spans="1:20" ht="14.25" customHeight="1" x14ac:dyDescent="0.2">
      <c r="A7" s="5"/>
      <c r="B7" s="5"/>
      <c r="C7" s="28"/>
      <c r="D7" s="28"/>
      <c r="E7" s="28"/>
      <c r="F7" s="28"/>
      <c r="H7" s="28"/>
      <c r="I7" s="28"/>
      <c r="J7" s="28"/>
      <c r="K7" s="28"/>
      <c r="L7" s="28"/>
      <c r="M7" s="28"/>
      <c r="N7" s="28"/>
    </row>
    <row r="8" spans="1:20" ht="14.25" customHeight="1" x14ac:dyDescent="0.2">
      <c r="A8" s="5"/>
      <c r="B8" s="5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</row>
    <row r="9" spans="1:20" ht="14.25" customHeight="1" x14ac:dyDescent="0.2">
      <c r="A9" s="5"/>
      <c r="B9" s="3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</row>
    <row r="10" spans="1:20" ht="14.25" customHeight="1" x14ac:dyDescent="0.15"/>
    <row r="11" spans="1:20" ht="14.25" customHeight="1" x14ac:dyDescent="0.2"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</row>
    <row r="12" spans="1:20" ht="14.25" customHeight="1" x14ac:dyDescent="0.15"/>
    <row r="13" spans="1:20" ht="14.25" customHeight="1" x14ac:dyDescent="0.15"/>
    <row r="14" spans="1:20" ht="14.25" customHeight="1" x14ac:dyDescent="0.15"/>
    <row r="15" spans="1:20" ht="14.25" customHeight="1" x14ac:dyDescent="0.15"/>
    <row r="16" spans="1:20" ht="14.25" customHeight="1" x14ac:dyDescent="0.15"/>
    <row r="17" ht="14.25" customHeight="1" x14ac:dyDescent="0.15"/>
    <row r="18" ht="14.25" customHeight="1" x14ac:dyDescent="0.15"/>
    <row r="19" ht="14.25" customHeight="1" x14ac:dyDescent="0.15"/>
    <row r="20" ht="14.25" customHeight="1" x14ac:dyDescent="0.15"/>
    <row r="21" ht="14.25" customHeight="1" x14ac:dyDescent="0.15"/>
    <row r="22" ht="14.25" customHeight="1" x14ac:dyDescent="0.15"/>
    <row r="23" ht="14.25" customHeight="1" x14ac:dyDescent="0.15"/>
    <row r="24" ht="14.25" customHeight="1" x14ac:dyDescent="0.15"/>
    <row r="25" ht="14.25" customHeight="1" x14ac:dyDescent="0.15"/>
    <row r="26" ht="14.25" customHeight="1" x14ac:dyDescent="0.15"/>
    <row r="27" ht="14.25" customHeight="1" x14ac:dyDescent="0.15"/>
    <row r="28" ht="14.25" customHeight="1" x14ac:dyDescent="0.15"/>
    <row r="29" ht="14.25" customHeight="1" x14ac:dyDescent="0.15"/>
    <row r="30" ht="14.25" customHeight="1" x14ac:dyDescent="0.15"/>
    <row r="31" ht="14.25" customHeight="1" x14ac:dyDescent="0.15"/>
    <row r="32" ht="14.25" customHeight="1" x14ac:dyDescent="0.15"/>
    <row r="33" ht="14.25" customHeight="1" x14ac:dyDescent="0.15"/>
    <row r="34" ht="14.25" customHeight="1" x14ac:dyDescent="0.15"/>
    <row r="35" ht="14.25" customHeight="1" x14ac:dyDescent="0.15"/>
    <row r="36" ht="14.25" customHeight="1" x14ac:dyDescent="0.15"/>
    <row r="37" ht="14.25" customHeight="1" x14ac:dyDescent="0.15"/>
    <row r="38" ht="14.25" customHeight="1" x14ac:dyDescent="0.15"/>
    <row r="39" ht="14.25" customHeight="1" x14ac:dyDescent="0.15"/>
    <row r="40" ht="14.25" customHeight="1" x14ac:dyDescent="0.15"/>
    <row r="41" ht="14.25" customHeight="1" x14ac:dyDescent="0.15"/>
    <row r="42" ht="14.25" customHeight="1" x14ac:dyDescent="0.15"/>
    <row r="43" ht="14.25" customHeight="1" x14ac:dyDescent="0.15"/>
    <row r="44" ht="14.25" customHeight="1" x14ac:dyDescent="0.15"/>
    <row r="45" ht="14.25" customHeight="1" x14ac:dyDescent="0.15"/>
    <row r="46" ht="14.25" customHeight="1" x14ac:dyDescent="0.15"/>
    <row r="47" ht="14.25" customHeight="1" x14ac:dyDescent="0.15"/>
    <row r="48" ht="14.25" customHeight="1" x14ac:dyDescent="0.15"/>
    <row r="49" ht="14.25" customHeight="1" x14ac:dyDescent="0.15"/>
    <row r="50" ht="14.25" customHeight="1" x14ac:dyDescent="0.15"/>
    <row r="51" ht="14.25" customHeight="1" x14ac:dyDescent="0.15"/>
    <row r="52" ht="14.25" customHeight="1" x14ac:dyDescent="0.15"/>
    <row r="53" ht="14.25" customHeight="1" x14ac:dyDescent="0.15"/>
    <row r="54" ht="14.25" customHeight="1" x14ac:dyDescent="0.15"/>
    <row r="55" ht="14.25" customHeight="1" x14ac:dyDescent="0.15"/>
    <row r="56" ht="14.25" customHeight="1" x14ac:dyDescent="0.15"/>
    <row r="57" ht="14.25" customHeight="1" x14ac:dyDescent="0.15"/>
    <row r="58" ht="14.25" customHeight="1" x14ac:dyDescent="0.15"/>
    <row r="59" ht="14.25" customHeight="1" x14ac:dyDescent="0.15"/>
    <row r="60" ht="14.25" customHeight="1" x14ac:dyDescent="0.15"/>
    <row r="61" ht="14.25" customHeight="1" x14ac:dyDescent="0.15"/>
    <row r="62" ht="14.25" customHeight="1" x14ac:dyDescent="0.15"/>
    <row r="63" ht="14.25" customHeight="1" x14ac:dyDescent="0.15"/>
    <row r="64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  <row r="70" ht="14.25" customHeight="1" x14ac:dyDescent="0.15"/>
    <row r="71" ht="14.25" customHeight="1" x14ac:dyDescent="0.15"/>
    <row r="72" ht="14.25" customHeight="1" x14ac:dyDescent="0.15"/>
    <row r="73" ht="14.25" customHeight="1" x14ac:dyDescent="0.15"/>
    <row r="74" ht="14.25" customHeight="1" x14ac:dyDescent="0.15"/>
    <row r="75" ht="14.25" customHeight="1" x14ac:dyDescent="0.15"/>
    <row r="76" ht="14.25" customHeight="1" x14ac:dyDescent="0.15"/>
    <row r="77" ht="14.25" customHeight="1" x14ac:dyDescent="0.15"/>
    <row r="78" ht="14.25" customHeight="1" x14ac:dyDescent="0.15"/>
    <row r="79" ht="14.25" customHeight="1" x14ac:dyDescent="0.15"/>
    <row r="80" ht="14.25" customHeight="1" x14ac:dyDescent="0.15"/>
    <row r="81" ht="14.25" customHeight="1" x14ac:dyDescent="0.15"/>
    <row r="82" ht="14.25" customHeight="1" x14ac:dyDescent="0.15"/>
    <row r="83" ht="14.25" customHeight="1" x14ac:dyDescent="0.15"/>
    <row r="84" ht="14.25" customHeight="1" x14ac:dyDescent="0.15"/>
    <row r="85" ht="14.25" customHeight="1" x14ac:dyDescent="0.15"/>
    <row r="86" ht="14.25" customHeight="1" x14ac:dyDescent="0.15"/>
    <row r="87" ht="14.25" customHeight="1" x14ac:dyDescent="0.15"/>
    <row r="88" ht="14.25" customHeight="1" x14ac:dyDescent="0.15"/>
    <row r="89" ht="14.25" customHeight="1" x14ac:dyDescent="0.15"/>
    <row r="90" ht="14.25" customHeight="1" x14ac:dyDescent="0.15"/>
    <row r="91" ht="14.25" customHeight="1" x14ac:dyDescent="0.15"/>
    <row r="92" ht="14.25" customHeight="1" x14ac:dyDescent="0.15"/>
    <row r="93" ht="14.25" customHeight="1" x14ac:dyDescent="0.15"/>
    <row r="94" ht="14.25" customHeight="1" x14ac:dyDescent="0.15"/>
    <row r="95" ht="14.25" customHeight="1" x14ac:dyDescent="0.15"/>
    <row r="96" ht="14.25" customHeight="1" x14ac:dyDescent="0.15"/>
    <row r="97" ht="14.25" customHeight="1" x14ac:dyDescent="0.15"/>
    <row r="98" ht="14.25" customHeight="1" x14ac:dyDescent="0.15"/>
    <row r="99" ht="14.25" customHeight="1" x14ac:dyDescent="0.15"/>
    <row r="100" ht="14.25" customHeight="1" x14ac:dyDescent="0.15"/>
    <row r="101" ht="14.25" customHeight="1" x14ac:dyDescent="0.15"/>
    <row r="102" ht="14.25" customHeight="1" x14ac:dyDescent="0.15"/>
    <row r="103" ht="14.25" customHeight="1" x14ac:dyDescent="0.15"/>
    <row r="104" ht="14.25" customHeight="1" x14ac:dyDescent="0.15"/>
    <row r="105" ht="14.25" customHeight="1" x14ac:dyDescent="0.15"/>
    <row r="106" ht="14.25" customHeight="1" x14ac:dyDescent="0.15"/>
    <row r="107" ht="14.25" customHeight="1" x14ac:dyDescent="0.15"/>
    <row r="108" ht="14.25" customHeight="1" x14ac:dyDescent="0.15"/>
    <row r="109" ht="14.25" customHeight="1" x14ac:dyDescent="0.15"/>
    <row r="110" ht="14.25" customHeight="1" x14ac:dyDescent="0.15"/>
    <row r="111" ht="14.25" customHeight="1" x14ac:dyDescent="0.15"/>
    <row r="112" ht="14.25" customHeight="1" x14ac:dyDescent="0.15"/>
    <row r="113" ht="14.25" customHeight="1" x14ac:dyDescent="0.15"/>
    <row r="114" ht="14.25" customHeight="1" x14ac:dyDescent="0.15"/>
    <row r="115" ht="14.25" customHeight="1" x14ac:dyDescent="0.15"/>
    <row r="116" ht="14.25" customHeight="1" x14ac:dyDescent="0.15"/>
    <row r="117" ht="14.25" customHeight="1" x14ac:dyDescent="0.15"/>
    <row r="118" ht="14.25" customHeight="1" x14ac:dyDescent="0.15"/>
    <row r="119" ht="14.25" customHeight="1" x14ac:dyDescent="0.15"/>
    <row r="120" ht="14.25" customHeight="1" x14ac:dyDescent="0.15"/>
    <row r="121" ht="14.25" customHeight="1" x14ac:dyDescent="0.15"/>
    <row r="122" ht="14.25" customHeight="1" x14ac:dyDescent="0.15"/>
    <row r="123" ht="14.25" customHeight="1" x14ac:dyDescent="0.15"/>
    <row r="124" ht="14.25" customHeight="1" x14ac:dyDescent="0.15"/>
    <row r="125" ht="14.25" customHeight="1" x14ac:dyDescent="0.15"/>
    <row r="126" ht="14.25" customHeight="1" x14ac:dyDescent="0.15"/>
    <row r="127" ht="14.25" customHeight="1" x14ac:dyDescent="0.15"/>
    <row r="128" ht="14.25" customHeight="1" x14ac:dyDescent="0.15"/>
    <row r="129" ht="14.25" customHeight="1" x14ac:dyDescent="0.15"/>
    <row r="130" ht="14.25" customHeight="1" x14ac:dyDescent="0.15"/>
    <row r="131" ht="14.25" customHeight="1" x14ac:dyDescent="0.15"/>
    <row r="132" ht="14.25" customHeight="1" x14ac:dyDescent="0.15"/>
    <row r="133" ht="14.25" customHeight="1" x14ac:dyDescent="0.15"/>
    <row r="134" ht="14.25" customHeight="1" x14ac:dyDescent="0.15"/>
    <row r="135" ht="14.25" customHeight="1" x14ac:dyDescent="0.15"/>
    <row r="136" ht="14.25" customHeight="1" x14ac:dyDescent="0.15"/>
    <row r="137" ht="14.25" customHeight="1" x14ac:dyDescent="0.15"/>
    <row r="138" ht="14.25" customHeight="1" x14ac:dyDescent="0.15"/>
    <row r="139" ht="14.25" customHeight="1" x14ac:dyDescent="0.15"/>
    <row r="140" ht="14.25" customHeight="1" x14ac:dyDescent="0.15"/>
    <row r="141" ht="14.25" customHeight="1" x14ac:dyDescent="0.15"/>
    <row r="142" ht="14.25" customHeight="1" x14ac:dyDescent="0.15"/>
    <row r="143" ht="14.25" customHeight="1" x14ac:dyDescent="0.15"/>
    <row r="144" ht="14.25" customHeight="1" x14ac:dyDescent="0.15"/>
    <row r="145" ht="14.25" customHeight="1" x14ac:dyDescent="0.15"/>
    <row r="146" ht="14.25" customHeight="1" x14ac:dyDescent="0.15"/>
    <row r="147" ht="14.25" customHeight="1" x14ac:dyDescent="0.15"/>
    <row r="148" ht="14.25" customHeight="1" x14ac:dyDescent="0.15"/>
    <row r="149" ht="14.25" customHeight="1" x14ac:dyDescent="0.15"/>
    <row r="150" ht="14.25" customHeight="1" x14ac:dyDescent="0.15"/>
    <row r="151" ht="14.25" customHeight="1" x14ac:dyDescent="0.15"/>
    <row r="152" ht="14.25" customHeight="1" x14ac:dyDescent="0.15"/>
    <row r="153" ht="14.25" customHeight="1" x14ac:dyDescent="0.15"/>
    <row r="154" ht="14.25" customHeight="1" x14ac:dyDescent="0.15"/>
    <row r="155" ht="14.25" customHeight="1" x14ac:dyDescent="0.15"/>
    <row r="156" ht="14.25" customHeight="1" x14ac:dyDescent="0.15"/>
    <row r="157" ht="14.25" customHeight="1" x14ac:dyDescent="0.15"/>
    <row r="158" ht="14.25" customHeight="1" x14ac:dyDescent="0.15"/>
    <row r="159" ht="14.25" customHeight="1" x14ac:dyDescent="0.15"/>
    <row r="160" ht="14.25" customHeight="1" x14ac:dyDescent="0.15"/>
    <row r="161" ht="14.25" customHeight="1" x14ac:dyDescent="0.15"/>
    <row r="162" ht="14.25" customHeight="1" x14ac:dyDescent="0.15"/>
    <row r="163" ht="14.25" customHeight="1" x14ac:dyDescent="0.15"/>
    <row r="164" ht="14.25" customHeight="1" x14ac:dyDescent="0.15"/>
    <row r="165" ht="14.25" customHeight="1" x14ac:dyDescent="0.15"/>
    <row r="166" ht="14.25" customHeight="1" x14ac:dyDescent="0.15"/>
    <row r="167" ht="14.25" customHeight="1" x14ac:dyDescent="0.15"/>
    <row r="168" ht="14.25" customHeight="1" x14ac:dyDescent="0.15"/>
    <row r="169" ht="14.25" customHeight="1" x14ac:dyDescent="0.15"/>
    <row r="170" ht="14.25" customHeight="1" x14ac:dyDescent="0.15"/>
    <row r="171" ht="14.25" customHeight="1" x14ac:dyDescent="0.15"/>
    <row r="172" ht="14.25" customHeight="1" x14ac:dyDescent="0.15"/>
    <row r="173" ht="14.25" customHeight="1" x14ac:dyDescent="0.15"/>
    <row r="174" ht="14.25" customHeight="1" x14ac:dyDescent="0.15"/>
    <row r="175" ht="14.25" customHeight="1" x14ac:dyDescent="0.15"/>
    <row r="176" ht="14.25" customHeight="1" x14ac:dyDescent="0.15"/>
    <row r="177" ht="14.25" customHeight="1" x14ac:dyDescent="0.15"/>
    <row r="178" ht="14.25" customHeight="1" x14ac:dyDescent="0.15"/>
    <row r="179" ht="14.25" customHeight="1" x14ac:dyDescent="0.15"/>
    <row r="180" ht="14.25" customHeight="1" x14ac:dyDescent="0.15"/>
    <row r="181" ht="14.25" customHeight="1" x14ac:dyDescent="0.15"/>
    <row r="182" ht="14.25" customHeight="1" x14ac:dyDescent="0.15"/>
    <row r="183" ht="14.25" customHeight="1" x14ac:dyDescent="0.15"/>
    <row r="184" ht="14.25" customHeight="1" x14ac:dyDescent="0.15"/>
    <row r="185" ht="14.25" customHeight="1" x14ac:dyDescent="0.15"/>
    <row r="186" ht="14.25" customHeight="1" x14ac:dyDescent="0.15"/>
    <row r="187" ht="14.25" customHeight="1" x14ac:dyDescent="0.15"/>
    <row r="188" ht="14.25" customHeight="1" x14ac:dyDescent="0.15"/>
    <row r="189" ht="14.25" customHeight="1" x14ac:dyDescent="0.15"/>
    <row r="190" ht="14.25" customHeight="1" x14ac:dyDescent="0.15"/>
    <row r="191" ht="14.25" customHeight="1" x14ac:dyDescent="0.15"/>
    <row r="192" ht="14.25" customHeight="1" x14ac:dyDescent="0.15"/>
    <row r="193" ht="14.25" customHeight="1" x14ac:dyDescent="0.15"/>
    <row r="194" ht="14.25" customHeight="1" x14ac:dyDescent="0.15"/>
    <row r="195" ht="14.25" customHeight="1" x14ac:dyDescent="0.15"/>
    <row r="196" ht="14.25" customHeight="1" x14ac:dyDescent="0.15"/>
    <row r="197" ht="14.25" customHeight="1" x14ac:dyDescent="0.15"/>
    <row r="198" ht="14.25" customHeight="1" x14ac:dyDescent="0.15"/>
    <row r="199" ht="14.25" customHeight="1" x14ac:dyDescent="0.15"/>
    <row r="200" ht="14.25" customHeight="1" x14ac:dyDescent="0.15"/>
    <row r="201" ht="14.25" customHeight="1" x14ac:dyDescent="0.15"/>
    <row r="202" ht="14.25" customHeight="1" x14ac:dyDescent="0.15"/>
    <row r="203" ht="14.25" customHeight="1" x14ac:dyDescent="0.15"/>
    <row r="204" ht="14.25" customHeight="1" x14ac:dyDescent="0.15"/>
    <row r="205" ht="14.25" customHeight="1" x14ac:dyDescent="0.15"/>
    <row r="206" ht="14.25" customHeight="1" x14ac:dyDescent="0.15"/>
    <row r="207" ht="14.25" customHeight="1" x14ac:dyDescent="0.15"/>
    <row r="208" ht="14.25" customHeight="1" x14ac:dyDescent="0.15"/>
    <row r="209" ht="14.25" customHeight="1" x14ac:dyDescent="0.15"/>
    <row r="210" ht="14.25" customHeight="1" x14ac:dyDescent="0.15"/>
    <row r="211" ht="14.25" customHeight="1" x14ac:dyDescent="0.15"/>
    <row r="212" ht="14.25" customHeight="1" x14ac:dyDescent="0.15"/>
    <row r="213" ht="14.25" customHeight="1" x14ac:dyDescent="0.15"/>
    <row r="214" ht="14.25" customHeight="1" x14ac:dyDescent="0.15"/>
    <row r="215" ht="14.25" customHeight="1" x14ac:dyDescent="0.15"/>
    <row r="216" ht="14.25" customHeight="1" x14ac:dyDescent="0.15"/>
    <row r="217" ht="14.25" customHeight="1" x14ac:dyDescent="0.15"/>
    <row r="218" ht="14.25" customHeight="1" x14ac:dyDescent="0.15"/>
    <row r="219" ht="14.25" customHeight="1" x14ac:dyDescent="0.15"/>
    <row r="220" ht="14.2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Patient Data</vt:lpstr>
      <vt:lpstr>Intercepts</vt:lpstr>
      <vt:lpstr>Age</vt:lpstr>
      <vt:lpstr>Sex</vt:lpstr>
      <vt:lpstr>AdmitScore</vt:lpstr>
      <vt:lpstr>AdmitPain</vt:lpstr>
      <vt:lpstr>Payer</vt:lpstr>
      <vt:lpstr>TxType</vt:lpstr>
      <vt:lpstr>Duration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Deutscher</cp:lastModifiedBy>
  <dcterms:created xsi:type="dcterms:W3CDTF">2025-11-04T14:20:01Z</dcterms:created>
  <dcterms:modified xsi:type="dcterms:W3CDTF">2026-01-25T19:12:15Z</dcterms:modified>
</cp:coreProperties>
</file>